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Contabilidade\BIGPAG BRASIL SA\REINF\2025\Marco 2025\"/>
    </mc:Choice>
  </mc:AlternateContent>
  <xr:revisionPtr revIDLastSave="0" documentId="13_ncr:1_{6DCC0544-242B-49C6-908C-787CB346FC1A}" xr6:coauthVersionLast="47" xr6:coauthVersionMax="47" xr10:uidLastSave="{00000000-0000-0000-0000-000000000000}"/>
  <bookViews>
    <workbookView xWindow="-120" yWindow="-120" windowWidth="20730" windowHeight="11040" xr2:uid="{704BD478-6C63-42C1-8CE7-F5FFBADD582C}"/>
  </bookViews>
  <sheets>
    <sheet name="Planilha1" sheetId="1" r:id="rId1"/>
  </sheets>
  <definedNames>
    <definedName name="_xlnm._FilterDatabase" localSheetId="0" hidden="1">Planilha1!$A$1:$H$399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2" i="1"/>
  <c r="H2" i="1" s="1"/>
</calcChain>
</file>

<file path=xl/sharedStrings.xml><?xml version="1.0" encoding="utf-8"?>
<sst xmlns="http://schemas.openxmlformats.org/spreadsheetml/2006/main" count="1202" uniqueCount="352">
  <si>
    <t>Período de apuração</t>
  </si>
  <si>
    <t>CNPJ do Estabelecimento</t>
  </si>
  <si>
    <t>CNPJ da fonte pagadora</t>
  </si>
  <si>
    <t>Data do recebimento</t>
  </si>
  <si>
    <t>Valor bruto</t>
  </si>
  <si>
    <t>Valor da base de cálculo do IRRF</t>
  </si>
  <si>
    <t>Valor do IRRF</t>
  </si>
  <si>
    <t>41.875.118/0001-40</t>
  </si>
  <si>
    <t>10.883.824/0001-00</t>
  </si>
  <si>
    <t>40.841.911/0001-66</t>
  </si>
  <si>
    <t>53.912.155/0001-60</t>
  </si>
  <si>
    <t>06.296.709/0001-62</t>
  </si>
  <si>
    <t>06.296.709/0002-43</t>
  </si>
  <si>
    <t>10.507.868/0002-17</t>
  </si>
  <si>
    <t>10.958.309/0001-42</t>
  </si>
  <si>
    <t>11.254.564/0002-58</t>
  </si>
  <si>
    <t>13.435.336/0001-29</t>
  </si>
  <si>
    <t>13.435.336/0003-90</t>
  </si>
  <si>
    <t>13.435.336/0004-71</t>
  </si>
  <si>
    <t>13.435.336/0005-52</t>
  </si>
  <si>
    <t>13.435.336/0006-33</t>
  </si>
  <si>
    <t>18.162.683/0001-49</t>
  </si>
  <si>
    <t>18.162.683/0002-20</t>
  </si>
  <si>
    <t>18.209.589/0002-89</t>
  </si>
  <si>
    <t>20.267.270/0001-70</t>
  </si>
  <si>
    <t>20.267.270/0002-51</t>
  </si>
  <si>
    <t>30.558.665/0001-86</t>
  </si>
  <si>
    <t>30.558.665/0002-67</t>
  </si>
  <si>
    <t>35.564.273/0001-43</t>
  </si>
  <si>
    <t>35.593.822/0003-70</t>
  </si>
  <si>
    <t>37.306.071/0001-27</t>
  </si>
  <si>
    <t>42.526.729/0001-46</t>
  </si>
  <si>
    <t>42.526.729/0002-27</t>
  </si>
  <si>
    <t>42.526.729/0003-08</t>
  </si>
  <si>
    <t>52.832.572/0001-30</t>
  </si>
  <si>
    <t>52.922.607/0001-22</t>
  </si>
  <si>
    <t>53.613.776/0001-43</t>
  </si>
  <si>
    <t>53.613.776/0002-24</t>
  </si>
  <si>
    <t>97.544.481/0001-38</t>
  </si>
  <si>
    <t>97.552.522/0002-19</t>
  </si>
  <si>
    <t>00.734.304/0001-82</t>
  </si>
  <si>
    <t>00.947.762/0001-08</t>
  </si>
  <si>
    <t>02.031.996/0001-28</t>
  </si>
  <si>
    <t>02.031.996/0002-09</t>
  </si>
  <si>
    <t>04.154.314/0001-08</t>
  </si>
  <si>
    <t>04.608.458/0001-89</t>
  </si>
  <si>
    <t>05.964.854/0001-01</t>
  </si>
  <si>
    <t>06.159.045/0001-90</t>
  </si>
  <si>
    <t>07.815.372/0001-15</t>
  </si>
  <si>
    <t>08.593.350/0001-10</t>
  </si>
  <si>
    <t>08.865.752/0001-27</t>
  </si>
  <si>
    <t>17.169.286/0001-36</t>
  </si>
  <si>
    <t>17.251.954/0003-31</t>
  </si>
  <si>
    <t>18.392.767/0001-79</t>
  </si>
  <si>
    <t>21.765.381/0001-70</t>
  </si>
  <si>
    <t>23.094.488/0001-69</t>
  </si>
  <si>
    <t>23.103.979/0001-29</t>
  </si>
  <si>
    <t>24.363.989/0001-66</t>
  </si>
  <si>
    <t>28.452.521/0001-07</t>
  </si>
  <si>
    <t>28.730.485/0001-98</t>
  </si>
  <si>
    <t>29.547.945/0001-00</t>
  </si>
  <si>
    <t>30.308.924/0001-10</t>
  </si>
  <si>
    <t>32.341.093/0001-04</t>
  </si>
  <si>
    <t>32.710.259/0001-12</t>
  </si>
  <si>
    <t>33.242.237/0001-38</t>
  </si>
  <si>
    <t>33.395.506/0001-04</t>
  </si>
  <si>
    <t>33.456.656/0001-72</t>
  </si>
  <si>
    <t>33.887.364/0001-94</t>
  </si>
  <si>
    <t>34.102.660/0001-03</t>
  </si>
  <si>
    <t>34.372.346/0001-32</t>
  </si>
  <si>
    <t>34.593.127/0001-83</t>
  </si>
  <si>
    <t>34.615.832/0001-34</t>
  </si>
  <si>
    <t>34.615.832/0002-15</t>
  </si>
  <si>
    <t>36.099.073/0001-20</t>
  </si>
  <si>
    <t>37.580.807/0001-50</t>
  </si>
  <si>
    <t>37.994.789/0001-53</t>
  </si>
  <si>
    <t>39.527.453/0001-06</t>
  </si>
  <si>
    <t>39.558.152/0001-40</t>
  </si>
  <si>
    <t>39.935.486/0001-95</t>
  </si>
  <si>
    <t>41.735.596/0001-55</t>
  </si>
  <si>
    <t>41.861.815/0001-42</t>
  </si>
  <si>
    <t>41.861.815/0002-23</t>
  </si>
  <si>
    <t>42.020.492/0001-27</t>
  </si>
  <si>
    <t>42.379.384/0001-45</t>
  </si>
  <si>
    <t>42.379.384/0002-26</t>
  </si>
  <si>
    <t>42.532.244/0001-65</t>
  </si>
  <si>
    <t>43.499.543/0001-08</t>
  </si>
  <si>
    <t>46.319.219/0001-59</t>
  </si>
  <si>
    <t>46.681.286/0001-19</t>
  </si>
  <si>
    <t>47.781.645/0001-72</t>
  </si>
  <si>
    <t>47.787.303/0001-60</t>
  </si>
  <si>
    <t>47.954.800/0001-05</t>
  </si>
  <si>
    <t>48.168.230/0001-90</t>
  </si>
  <si>
    <t>49.864.886/0001-00</t>
  </si>
  <si>
    <t>50.458.061/0001-75</t>
  </si>
  <si>
    <t>51.666.334/0001-30</t>
  </si>
  <si>
    <t>52.448.376/0001-67</t>
  </si>
  <si>
    <t>52.827.601/0001-76</t>
  </si>
  <si>
    <t>53.494.475/0001-48</t>
  </si>
  <si>
    <t>54.089.462/0001-56</t>
  </si>
  <si>
    <t>54.696.429/0001-94</t>
  </si>
  <si>
    <t>55.133.035/0001-90</t>
  </si>
  <si>
    <t>55.254.315/0001-57</t>
  </si>
  <si>
    <t>56.661.621/0001-70</t>
  </si>
  <si>
    <t>07.154.977/0001-02</t>
  </si>
  <si>
    <t>35.319.760/0001-40</t>
  </si>
  <si>
    <t>44.759.106/0001-49</t>
  </si>
  <si>
    <t>45.807.274/0001-25</t>
  </si>
  <si>
    <t>47.001.811/0001-70</t>
  </si>
  <si>
    <t>53.769.786/0001-72</t>
  </si>
  <si>
    <t>04.366.600/0001-29</t>
  </si>
  <si>
    <t>08.393.837/0001-50</t>
  </si>
  <si>
    <t>09.373.709/0001-07</t>
  </si>
  <si>
    <t>15.404.927/0001-64</t>
  </si>
  <si>
    <t>17.827.798/0001-42</t>
  </si>
  <si>
    <t>19.357.262/0001-36</t>
  </si>
  <si>
    <t>25.179.282/0001-67</t>
  </si>
  <si>
    <t>26.233.950/0001-50</t>
  </si>
  <si>
    <t>30.702.426/0001-58</t>
  </si>
  <si>
    <t>36.088.913/0001-59</t>
  </si>
  <si>
    <t>37.128.481/0001-25</t>
  </si>
  <si>
    <t>40.540.736/0001-77</t>
  </si>
  <si>
    <t>47.009.217/0001-26</t>
  </si>
  <si>
    <t>47.180.620/0001-13</t>
  </si>
  <si>
    <t>01.220.943/0001-92</t>
  </si>
  <si>
    <t>03.131.345/0001-72</t>
  </si>
  <si>
    <t>03.932.420/0001-02</t>
  </si>
  <si>
    <t>05.775.043/0001-62</t>
  </si>
  <si>
    <t>07.489.901/0003-08</t>
  </si>
  <si>
    <t>09.363.657/0001-98</t>
  </si>
  <si>
    <t>10.972.372/0001-33</t>
  </si>
  <si>
    <t>13.162.284/0001-64</t>
  </si>
  <si>
    <t>14.772.279/0001-36</t>
  </si>
  <si>
    <t>15.063.747/0001-66</t>
  </si>
  <si>
    <t>15.733.038/0001-40</t>
  </si>
  <si>
    <t>19.239.260/0001-42</t>
  </si>
  <si>
    <t>21.811.611/0001-90</t>
  </si>
  <si>
    <t>27.107.844/0001-92</t>
  </si>
  <si>
    <t>27.670.766/0001-30</t>
  </si>
  <si>
    <t>29.388.585/0001-40</t>
  </si>
  <si>
    <t>30.366.039/0001-98</t>
  </si>
  <si>
    <t>31.367.681/0001-54</t>
  </si>
  <si>
    <t>32.797.391/0001-03</t>
  </si>
  <si>
    <t>34.733.205/0001-06</t>
  </si>
  <si>
    <t>36.631.937/0001-02</t>
  </si>
  <si>
    <t>36.988.122/0001-85</t>
  </si>
  <si>
    <t>39.942.481/0001-90</t>
  </si>
  <si>
    <t>49.137.251/0001-01</t>
  </si>
  <si>
    <t>49.770.512/0001-26</t>
  </si>
  <si>
    <t>50.957.047/0001-16</t>
  </si>
  <si>
    <t>51.421.437/0001-30</t>
  </si>
  <si>
    <t>58.634.525/0001-69</t>
  </si>
  <si>
    <t>58.759.477/0001-35</t>
  </si>
  <si>
    <t>58.759.680/0001-01</t>
  </si>
  <si>
    <t>09.240.589/0001-70</t>
  </si>
  <si>
    <t>19.115.491/0001-44</t>
  </si>
  <si>
    <t>11.064.911/0001-07</t>
  </si>
  <si>
    <t>14.977.594/0001-08</t>
  </si>
  <si>
    <t>19.389.931/0001-51</t>
  </si>
  <si>
    <t>23.952.336/0001-50</t>
  </si>
  <si>
    <t>26.207.225/0001-07</t>
  </si>
  <si>
    <t>30.405.782/0001-00</t>
  </si>
  <si>
    <t>31.000.541/0001-43</t>
  </si>
  <si>
    <t>32.401.295/0001-02</t>
  </si>
  <si>
    <t>34.807.303/0001-32</t>
  </si>
  <si>
    <t>34.895.536/0001-34</t>
  </si>
  <si>
    <t>36.408.222/0001-95</t>
  </si>
  <si>
    <t>38.928.139/0001-72</t>
  </si>
  <si>
    <t>42.288.344/0001-98</t>
  </si>
  <si>
    <t>44.534.474/0001-99</t>
  </si>
  <si>
    <t>44.824.591/0001-97</t>
  </si>
  <si>
    <t>46.702.594/0001-83</t>
  </si>
  <si>
    <t>49.656.387/0001-28</t>
  </si>
  <si>
    <t>51.536.718/0001-38</t>
  </si>
  <si>
    <t>51.736.971/0001-35</t>
  </si>
  <si>
    <t>52.063.946/0001-09</t>
  </si>
  <si>
    <t>54.403.569/0001-27</t>
  </si>
  <si>
    <t>54.933.406/0001-56</t>
  </si>
  <si>
    <t>57.006.537/0001-86</t>
  </si>
  <si>
    <t>08.070.273/0001-14</t>
  </si>
  <si>
    <t>18.383.651/0001-73</t>
  </si>
  <si>
    <t>32.950.715/0001-00</t>
  </si>
  <si>
    <t>08.944.401/0005-35</t>
  </si>
  <si>
    <t>34.023.930/0001-82</t>
  </si>
  <si>
    <t>07.003.847/0001-79</t>
  </si>
  <si>
    <t>13.078.122/0001-42</t>
  </si>
  <si>
    <t>43.525.843/0001-14</t>
  </si>
  <si>
    <t>43.712.444/0001-62</t>
  </si>
  <si>
    <t>02.890.547/0001-35</t>
  </si>
  <si>
    <t>23.130.392/0001-09</t>
  </si>
  <si>
    <t>23.199.237/0001-49</t>
  </si>
  <si>
    <t>32.663.345/0001-11</t>
  </si>
  <si>
    <t>54.439.138/0001-10</t>
  </si>
  <si>
    <t>19.354.898/0001-24</t>
  </si>
  <si>
    <t>00.284.098/0001-56</t>
  </si>
  <si>
    <t>17.166.165/0001-30</t>
  </si>
  <si>
    <t>17.756.085/0001-35</t>
  </si>
  <si>
    <t>24.693.363/0001-18</t>
  </si>
  <si>
    <t>25.965.570/0001-47</t>
  </si>
  <si>
    <t>26.323.332/0001-09</t>
  </si>
  <si>
    <t>56.915.431/0001-32</t>
  </si>
  <si>
    <t>09.310.704/0001-35</t>
  </si>
  <si>
    <t>11.271.578/0001-07</t>
  </si>
  <si>
    <t>12.308.635/0001-30</t>
  </si>
  <si>
    <t>13.282.030/0001-80</t>
  </si>
  <si>
    <t>15.239.143/0001-28</t>
  </si>
  <si>
    <t>15.265.908/0001-02</t>
  </si>
  <si>
    <t>16.708.951/0001-50</t>
  </si>
  <si>
    <t>19.755.356/0001-63</t>
  </si>
  <si>
    <t>20.320.312/0001-90</t>
  </si>
  <si>
    <t>23.329.348/0001-22</t>
  </si>
  <si>
    <t>24.697.965/0001-43</t>
  </si>
  <si>
    <t>25.029.997/0001-33</t>
  </si>
  <si>
    <t>29.981.615/0001-28</t>
  </si>
  <si>
    <t>30.868.229/0001-03</t>
  </si>
  <si>
    <t>36.383.195/0001-43</t>
  </si>
  <si>
    <t>42.271.386/0001-16</t>
  </si>
  <si>
    <t>48.293.795/0001-08</t>
  </si>
  <si>
    <t>48.337.007/0001-20</t>
  </si>
  <si>
    <t>49.039.812/0001-30</t>
  </si>
  <si>
    <t>50.075.010/0001-64</t>
  </si>
  <si>
    <t>53.775.944/0001-05</t>
  </si>
  <si>
    <t>54.276.821/0001-84</t>
  </si>
  <si>
    <t>56.605.427/0001-78</t>
  </si>
  <si>
    <t>12.640.519/0001-13</t>
  </si>
  <si>
    <t>45.106.862/0001-31</t>
  </si>
  <si>
    <t>46.081.789/0001-53</t>
  </si>
  <si>
    <t>49.257.712/0001-80</t>
  </si>
  <si>
    <t>57.824.408/0001-03</t>
  </si>
  <si>
    <t>34.221.172/0001-07</t>
  </si>
  <si>
    <t>00.398.371/0001-73</t>
  </si>
  <si>
    <t>03.179.763/0001-30</t>
  </si>
  <si>
    <t>04.652.952/0001-40</t>
  </si>
  <si>
    <t>07.262.537/0001-79</t>
  </si>
  <si>
    <t>07.332.730/0001-39</t>
  </si>
  <si>
    <t>09.380.735/0001-62</t>
  </si>
  <si>
    <t>11.250.745/0001-25</t>
  </si>
  <si>
    <t>17.160.919/0001-45</t>
  </si>
  <si>
    <t>19.196.833/0001-06</t>
  </si>
  <si>
    <t>24.434.831/0001-30</t>
  </si>
  <si>
    <t>24.714.798/0001-00</t>
  </si>
  <si>
    <t>27.941.029/0001-24</t>
  </si>
  <si>
    <t>31.232.773/0001-27</t>
  </si>
  <si>
    <t>31.354.515/0001-13</t>
  </si>
  <si>
    <t>31.898.650/0001-20</t>
  </si>
  <si>
    <t>33.347.221/0001-90</t>
  </si>
  <si>
    <t>34.899.923/0001-49</t>
  </si>
  <si>
    <t>35.822.646/0001-39</t>
  </si>
  <si>
    <t>36.708.856/0001-63</t>
  </si>
  <si>
    <t>38.352.298/0001-71</t>
  </si>
  <si>
    <t>40.778.517/0001-20</t>
  </si>
  <si>
    <t>41.001.486/0001-60</t>
  </si>
  <si>
    <t>42.858.358/0001-08</t>
  </si>
  <si>
    <t>43.421.385/0001-73</t>
  </si>
  <si>
    <t>50.832.197/0001-01</t>
  </si>
  <si>
    <t>51.756.935/0001-33</t>
  </si>
  <si>
    <t>59.037.549/0001-01</t>
  </si>
  <si>
    <t>65.807.521/0001-09</t>
  </si>
  <si>
    <t>74.605.635/0001-59</t>
  </si>
  <si>
    <t>10.535.645/0001-82</t>
  </si>
  <si>
    <t>26.545.534/0001-97</t>
  </si>
  <si>
    <t>32.523.010/0001-06</t>
  </si>
  <si>
    <t>42.810.671/0001-68</t>
  </si>
  <si>
    <t>05.384.914/0001-17</t>
  </si>
  <si>
    <t>41.911.908/0001-34</t>
  </si>
  <si>
    <t>48.058.437/0001-02</t>
  </si>
  <si>
    <t>04.321.990/0001-10</t>
  </si>
  <si>
    <t>07.218.171/0001-30</t>
  </si>
  <si>
    <t>08.790.035/0001-83</t>
  </si>
  <si>
    <t>09.140.351/0065-37</t>
  </si>
  <si>
    <t>22.336.512/0001-66</t>
  </si>
  <si>
    <t>27.677.828/0001-35</t>
  </si>
  <si>
    <t>27.679.931/0001-14</t>
  </si>
  <si>
    <t>30.560.797/0001-42</t>
  </si>
  <si>
    <t>32.535.612/0001-75</t>
  </si>
  <si>
    <t>35.072.385/0001-87</t>
  </si>
  <si>
    <t>35.194.669/0001-46</t>
  </si>
  <si>
    <t>42.803.104/0001-84</t>
  </si>
  <si>
    <t>43.499.290/0001-72</t>
  </si>
  <si>
    <t>46.847.690/0001-10</t>
  </si>
  <si>
    <t>49.052.775/0001-08</t>
  </si>
  <si>
    <t>50.855.346/0001-40</t>
  </si>
  <si>
    <t>53.325.204/0001-69</t>
  </si>
  <si>
    <t>15.719.536/0001-39</t>
  </si>
  <si>
    <t>05.941.045/0001-84</t>
  </si>
  <si>
    <t>11.866.974/0001-79</t>
  </si>
  <si>
    <t>18.248.671/0001-31</t>
  </si>
  <si>
    <t>18.248.671/0005-65</t>
  </si>
  <si>
    <t>19.455.232/0001-62</t>
  </si>
  <si>
    <t>20.867.716/0001-06</t>
  </si>
  <si>
    <t>21.106.697/0001-50</t>
  </si>
  <si>
    <t>21.681.767/0001-01</t>
  </si>
  <si>
    <t>21.681.767/0003-65</t>
  </si>
  <si>
    <t>21.681.767/0005-27</t>
  </si>
  <si>
    <t>22.668.277/0001-20</t>
  </si>
  <si>
    <t>26.076.329/0001-20</t>
  </si>
  <si>
    <t>26.107.097/0001-20</t>
  </si>
  <si>
    <t>27.250.630/0001-70</t>
  </si>
  <si>
    <t>29.122.735/0001-70</t>
  </si>
  <si>
    <t>33.128.670/0001-47</t>
  </si>
  <si>
    <t>35.418.772/0001-22</t>
  </si>
  <si>
    <t>36.174.333/0001-84</t>
  </si>
  <si>
    <t>40.171.060/0001-91</t>
  </si>
  <si>
    <t>44.258.313/0001-10</t>
  </si>
  <si>
    <t>48.649.159/0001-68</t>
  </si>
  <si>
    <t>48.993.499/0001-01</t>
  </si>
  <si>
    <t>56.823.903/0001-27</t>
  </si>
  <si>
    <t>11.392.695/0001-10</t>
  </si>
  <si>
    <t>13.432.023/0001-17</t>
  </si>
  <si>
    <t>30.322.628/0001-74</t>
  </si>
  <si>
    <t>30.364.117/0002-04</t>
  </si>
  <si>
    <t>39.821.358/0002-00</t>
  </si>
  <si>
    <t>47.726.416/0001-55</t>
  </si>
  <si>
    <t>47.727.687/0001-25</t>
  </si>
  <si>
    <t>56.414.558/0001-78</t>
  </si>
  <si>
    <t>73.573.214/0001-20</t>
  </si>
  <si>
    <t>54.850.957/0001-56</t>
  </si>
  <si>
    <t>27.009.338/0001-60</t>
  </si>
  <si>
    <t>11.706.799/0001-52</t>
  </si>
  <si>
    <t>12.755.661/0001-06</t>
  </si>
  <si>
    <t>25.447.085/0001-81</t>
  </si>
  <si>
    <t>30.527.400/0001-10</t>
  </si>
  <si>
    <t>31.233.081/0001-01</t>
  </si>
  <si>
    <t>36.164.867/0001-20</t>
  </si>
  <si>
    <t>36.221.528/0001-38</t>
  </si>
  <si>
    <t>47.809.113/0001-04</t>
  </si>
  <si>
    <t>50.989.200/0001-97</t>
  </si>
  <si>
    <t>54.772.821/0001-75</t>
  </si>
  <si>
    <t>2025-03</t>
  </si>
  <si>
    <t>49.856.481/0001-20</t>
  </si>
  <si>
    <t>12.336.366/0001-15</t>
  </si>
  <si>
    <t>27.382.890/0001-08</t>
  </si>
  <si>
    <t>48.068.622/0001-88</t>
  </si>
  <si>
    <t>51.423.123/0001-76</t>
  </si>
  <si>
    <t>55.059.023/0001-63</t>
  </si>
  <si>
    <t>08.390.833/0001-18</t>
  </si>
  <si>
    <t>56.038.483/0001-78</t>
  </si>
  <si>
    <t>56.234.149/0001-90</t>
  </si>
  <si>
    <t>57.886.472/0001-00</t>
  </si>
  <si>
    <t>22.251.454/0001-78</t>
  </si>
  <si>
    <t>37.064.209/0001-29</t>
  </si>
  <si>
    <t>31.599.117/0001-67</t>
  </si>
  <si>
    <t>58.244.001/0001-61</t>
  </si>
  <si>
    <t>28.287.932/0001-86</t>
  </si>
  <si>
    <t>36.897.445/0001-63</t>
  </si>
  <si>
    <t>58.201.557/0001-70</t>
  </si>
  <si>
    <t>11.192.696/0001-11</t>
  </si>
  <si>
    <t>12.150.908/0001-60</t>
  </si>
  <si>
    <t>07.385.670/0001-12</t>
  </si>
  <si>
    <t>49.057.050/0001-02</t>
  </si>
  <si>
    <t>37.774.426/0001-02</t>
  </si>
  <si>
    <t>Nat Rend Rec p Bem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</si>
</sst>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7"/>
      <color theme="1"/>
      <name val="Arial"/>
      <family val="2"/>
    </font>
    <font>
      <sz val="7"/>
      <name val="Arial"/>
      <family val="2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6" fillId="0" borderId="1" xfId="0" applyFont="1" applyBorder="1"/>
    <xf numFmtId="0" fontId="7" fillId="0" borderId="1" xfId="0" applyFont="1" applyBorder="1"/>
    <xf numFmtId="14" fontId="6" fillId="0" borderId="1" xfId="0" applyNumberFormat="1" applyFont="1" applyBorder="1"/>
    <xf numFmtId="4" fontId="6" fillId="0" borderId="1" xfId="0" applyNumberFormat="1" applyFont="1" applyBorder="1"/>
    <xf numFmtId="4" fontId="7" fillId="0" borderId="1" xfId="0" applyNumberFormat="1" applyFont="1" applyBorder="1"/>
  </cellXfs>
  <cellStyles count="2">
    <cellStyle name="Normal" xfId="0" builtinId="0"/>
    <cellStyle name="Normal 2" xfId="1" xr:uid="{88CA1FEF-DE46-498E-AA9E-1E7D4A5691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DAB36-7DAD-4955-9A9B-8990D4133C02}">
  <dimension ref="A1:H399"/>
  <sheetViews>
    <sheetView tabSelected="1" workbookViewId="0">
      <selection sqref="A1:XFD1"/>
    </sheetView>
  </sheetViews>
  <sheetFormatPr defaultRowHeight="18" customHeight="1" x14ac:dyDescent="0.2"/>
  <cols>
    <col min="1" max="1" width="7.42578125" style="1" customWidth="1"/>
    <col min="2" max="3" width="17.7109375" style="1" customWidth="1"/>
    <col min="4" max="4" width="7.5703125" style="1" customWidth="1"/>
    <col min="5" max="8" width="10.7109375" style="1" customWidth="1"/>
    <col min="9" max="13" width="9.140625" style="1" customWidth="1"/>
    <col min="14" max="16384" width="9.140625" style="1"/>
  </cols>
  <sheetData>
    <row r="1" spans="1:8" ht="22.5" customHeight="1" x14ac:dyDescent="0.2">
      <c r="A1" s="2" t="s">
        <v>0</v>
      </c>
      <c r="B1" s="2" t="s">
        <v>1</v>
      </c>
      <c r="C1" s="2" t="s">
        <v>2</v>
      </c>
      <c r="D1" s="2" t="s">
        <v>351</v>
      </c>
      <c r="E1" s="2" t="s">
        <v>3</v>
      </c>
      <c r="F1" s="3" t="s">
        <v>4</v>
      </c>
      <c r="G1" s="2" t="s">
        <v>5</v>
      </c>
      <c r="H1" s="2" t="s">
        <v>6</v>
      </c>
    </row>
    <row r="2" spans="1:8" ht="15" customHeight="1" x14ac:dyDescent="0.2">
      <c r="A2" s="4" t="s">
        <v>328</v>
      </c>
      <c r="B2" s="4" t="s">
        <v>7</v>
      </c>
      <c r="C2" s="5" t="s">
        <v>265</v>
      </c>
      <c r="D2" s="4">
        <v>20007</v>
      </c>
      <c r="E2" s="6">
        <v>45747</v>
      </c>
      <c r="F2" s="7">
        <v>45.144109999999998</v>
      </c>
      <c r="G2" s="7">
        <f>F2</f>
        <v>45.144109999999998</v>
      </c>
      <c r="H2" s="7">
        <f>G2*0.015</f>
        <v>0.67716164999999995</v>
      </c>
    </row>
    <row r="3" spans="1:8" ht="15" customHeight="1" x14ac:dyDescent="0.2">
      <c r="A3" s="4" t="s">
        <v>328</v>
      </c>
      <c r="B3" s="4" t="s">
        <v>7</v>
      </c>
      <c r="C3" s="5" t="s">
        <v>8</v>
      </c>
      <c r="D3" s="4">
        <v>20007</v>
      </c>
      <c r="E3" s="6">
        <v>45747</v>
      </c>
      <c r="F3" s="8">
        <v>88.197270000000003</v>
      </c>
      <c r="G3" s="7">
        <f t="shared" ref="G3:G63" si="0">F3</f>
        <v>88.197270000000003</v>
      </c>
      <c r="H3" s="7">
        <f t="shared" ref="H3:H63" si="1">G3*0.015</f>
        <v>1.3229590499999999</v>
      </c>
    </row>
    <row r="4" spans="1:8" ht="15" customHeight="1" x14ac:dyDescent="0.2">
      <c r="A4" s="4" t="s">
        <v>328</v>
      </c>
      <c r="B4" s="4" t="s">
        <v>7</v>
      </c>
      <c r="C4" s="5" t="s">
        <v>9</v>
      </c>
      <c r="D4" s="4">
        <v>20007</v>
      </c>
      <c r="E4" s="6">
        <v>45747</v>
      </c>
      <c r="F4" s="8">
        <v>25.467020000000002</v>
      </c>
      <c r="G4" s="7">
        <f t="shared" si="0"/>
        <v>25.467020000000002</v>
      </c>
      <c r="H4" s="7">
        <f t="shared" si="1"/>
        <v>0.38200529999999999</v>
      </c>
    </row>
    <row r="5" spans="1:8" ht="15" customHeight="1" x14ac:dyDescent="0.2">
      <c r="A5" s="4" t="s">
        <v>328</v>
      </c>
      <c r="B5" s="4" t="s">
        <v>7</v>
      </c>
      <c r="C5" s="5" t="s">
        <v>10</v>
      </c>
      <c r="D5" s="4">
        <v>20007</v>
      </c>
      <c r="E5" s="6">
        <v>45747</v>
      </c>
      <c r="F5" s="8">
        <v>7.1172029999999999</v>
      </c>
      <c r="G5" s="7">
        <f t="shared" si="0"/>
        <v>7.1172029999999999</v>
      </c>
      <c r="H5" s="7">
        <f t="shared" si="1"/>
        <v>0.106758045</v>
      </c>
    </row>
    <row r="6" spans="1:8" ht="15" customHeight="1" x14ac:dyDescent="0.2">
      <c r="A6" s="4" t="s">
        <v>328</v>
      </c>
      <c r="B6" s="4" t="s">
        <v>7</v>
      </c>
      <c r="C6" s="5" t="s">
        <v>154</v>
      </c>
      <c r="D6" s="4">
        <v>20007</v>
      </c>
      <c r="E6" s="6">
        <v>45747</v>
      </c>
      <c r="F6" s="8">
        <v>27.297049999999999</v>
      </c>
      <c r="G6" s="7">
        <f t="shared" si="0"/>
        <v>27.297049999999999</v>
      </c>
      <c r="H6" s="7">
        <f t="shared" si="1"/>
        <v>0.40945574999999995</v>
      </c>
    </row>
    <row r="7" spans="1:8" ht="15" customHeight="1" x14ac:dyDescent="0.2">
      <c r="A7" s="4" t="s">
        <v>328</v>
      </c>
      <c r="B7" s="4" t="s">
        <v>7</v>
      </c>
      <c r="C7" s="5" t="s">
        <v>155</v>
      </c>
      <c r="D7" s="4">
        <v>20007</v>
      </c>
      <c r="E7" s="6">
        <v>45747</v>
      </c>
      <c r="F7" s="8">
        <v>16.993500000000001</v>
      </c>
      <c r="G7" s="7">
        <f t="shared" si="0"/>
        <v>16.993500000000001</v>
      </c>
      <c r="H7" s="7">
        <f t="shared" si="1"/>
        <v>0.25490250000000003</v>
      </c>
    </row>
    <row r="8" spans="1:8" ht="15" customHeight="1" x14ac:dyDescent="0.2">
      <c r="A8" s="4" t="s">
        <v>328</v>
      </c>
      <c r="B8" s="4" t="s">
        <v>7</v>
      </c>
      <c r="C8" s="5" t="s">
        <v>110</v>
      </c>
      <c r="D8" s="4">
        <v>20007</v>
      </c>
      <c r="E8" s="6">
        <v>45747</v>
      </c>
      <c r="F8" s="8">
        <v>21.334779999999999</v>
      </c>
      <c r="G8" s="7">
        <f t="shared" si="0"/>
        <v>21.334779999999999</v>
      </c>
      <c r="H8" s="7">
        <f t="shared" si="1"/>
        <v>0.32002169999999996</v>
      </c>
    </row>
    <row r="9" spans="1:8" ht="15" customHeight="1" x14ac:dyDescent="0.2">
      <c r="A9" s="4" t="s">
        <v>328</v>
      </c>
      <c r="B9" s="4" t="s">
        <v>7</v>
      </c>
      <c r="C9" s="5" t="s">
        <v>335</v>
      </c>
      <c r="D9" s="4">
        <v>20007</v>
      </c>
      <c r="E9" s="6">
        <v>45747</v>
      </c>
      <c r="F9" s="8">
        <v>6.6580000000000004</v>
      </c>
      <c r="G9" s="7">
        <f t="shared" si="0"/>
        <v>6.6580000000000004</v>
      </c>
      <c r="H9" s="7">
        <f t="shared" si="1"/>
        <v>9.987E-2</v>
      </c>
    </row>
    <row r="10" spans="1:8" ht="15" customHeight="1" x14ac:dyDescent="0.2">
      <c r="A10" s="4" t="s">
        <v>328</v>
      </c>
      <c r="B10" s="4" t="s">
        <v>7</v>
      </c>
      <c r="C10" s="5" t="s">
        <v>111</v>
      </c>
      <c r="D10" s="4">
        <v>20007</v>
      </c>
      <c r="E10" s="6">
        <v>45747</v>
      </c>
      <c r="F10" s="8">
        <v>24.787849999999999</v>
      </c>
      <c r="G10" s="7">
        <f t="shared" si="0"/>
        <v>24.787849999999999</v>
      </c>
      <c r="H10" s="7">
        <f t="shared" si="1"/>
        <v>0.37181774999999995</v>
      </c>
    </row>
    <row r="11" spans="1:8" ht="15" customHeight="1" x14ac:dyDescent="0.2">
      <c r="A11" s="4" t="s">
        <v>328</v>
      </c>
      <c r="B11" s="4" t="s">
        <v>7</v>
      </c>
      <c r="C11" s="5" t="s">
        <v>112</v>
      </c>
      <c r="D11" s="4">
        <v>20007</v>
      </c>
      <c r="E11" s="6">
        <v>45747</v>
      </c>
      <c r="F11" s="8">
        <v>72.644909999999996</v>
      </c>
      <c r="G11" s="7">
        <f t="shared" si="0"/>
        <v>72.644909999999996</v>
      </c>
      <c r="H11" s="7">
        <f t="shared" si="1"/>
        <v>1.0896736499999999</v>
      </c>
    </row>
    <row r="12" spans="1:8" ht="15" customHeight="1" x14ac:dyDescent="0.2">
      <c r="A12" s="4" t="s">
        <v>328</v>
      </c>
      <c r="B12" s="4" t="s">
        <v>7</v>
      </c>
      <c r="C12" s="5" t="s">
        <v>113</v>
      </c>
      <c r="D12" s="4">
        <v>20007</v>
      </c>
      <c r="E12" s="6">
        <v>45747</v>
      </c>
      <c r="F12" s="8">
        <v>22.965440000000001</v>
      </c>
      <c r="G12" s="7">
        <f t="shared" si="0"/>
        <v>22.965440000000001</v>
      </c>
      <c r="H12" s="7">
        <f t="shared" si="1"/>
        <v>0.3444816</v>
      </c>
    </row>
    <row r="13" spans="1:8" ht="15" customHeight="1" x14ac:dyDescent="0.2">
      <c r="A13" s="4" t="s">
        <v>328</v>
      </c>
      <c r="B13" s="4" t="s">
        <v>7</v>
      </c>
      <c r="C13" s="5" t="s">
        <v>114</v>
      </c>
      <c r="D13" s="4">
        <v>20007</v>
      </c>
      <c r="E13" s="6">
        <v>45747</v>
      </c>
      <c r="F13" s="8">
        <v>6.4574299999999996</v>
      </c>
      <c r="G13" s="7">
        <f t="shared" si="0"/>
        <v>6.4574299999999996</v>
      </c>
      <c r="H13" s="7">
        <f t="shared" si="1"/>
        <v>9.6861449999999988E-2</v>
      </c>
    </row>
    <row r="14" spans="1:8" ht="15" customHeight="1" x14ac:dyDescent="0.2">
      <c r="A14" s="4" t="s">
        <v>328</v>
      </c>
      <c r="B14" s="4" t="s">
        <v>7</v>
      </c>
      <c r="C14" s="5" t="s">
        <v>115</v>
      </c>
      <c r="D14" s="4">
        <v>20007</v>
      </c>
      <c r="E14" s="6">
        <v>45747</v>
      </c>
      <c r="F14" s="8">
        <v>5.781142</v>
      </c>
      <c r="G14" s="7">
        <f t="shared" si="0"/>
        <v>5.781142</v>
      </c>
      <c r="H14" s="7">
        <f t="shared" si="1"/>
        <v>8.6717130000000003E-2</v>
      </c>
    </row>
    <row r="15" spans="1:8" ht="15" customHeight="1" x14ac:dyDescent="0.2">
      <c r="A15" s="4" t="s">
        <v>328</v>
      </c>
      <c r="B15" s="4" t="s">
        <v>7</v>
      </c>
      <c r="C15" s="5" t="s">
        <v>116</v>
      </c>
      <c r="D15" s="4">
        <v>20007</v>
      </c>
      <c r="E15" s="6">
        <v>45747</v>
      </c>
      <c r="F15" s="8">
        <v>114.0947</v>
      </c>
      <c r="G15" s="7">
        <f t="shared" si="0"/>
        <v>114.0947</v>
      </c>
      <c r="H15" s="7">
        <f t="shared" si="1"/>
        <v>1.7114205</v>
      </c>
    </row>
    <row r="16" spans="1:8" ht="15" customHeight="1" x14ac:dyDescent="0.2">
      <c r="A16" s="4" t="s">
        <v>328</v>
      </c>
      <c r="B16" s="4" t="s">
        <v>7</v>
      </c>
      <c r="C16" s="5" t="s">
        <v>117</v>
      </c>
      <c r="D16" s="4">
        <v>20007</v>
      </c>
      <c r="E16" s="6">
        <v>45747</v>
      </c>
      <c r="F16" s="8">
        <v>252.65969999999999</v>
      </c>
      <c r="G16" s="7">
        <f t="shared" si="0"/>
        <v>252.65969999999999</v>
      </c>
      <c r="H16" s="7">
        <f t="shared" si="1"/>
        <v>3.7898954999999996</v>
      </c>
    </row>
    <row r="17" spans="1:8" ht="15" customHeight="1" x14ac:dyDescent="0.2">
      <c r="A17" s="4" t="s">
        <v>328</v>
      </c>
      <c r="B17" s="4" t="s">
        <v>7</v>
      </c>
      <c r="C17" s="5" t="s">
        <v>118</v>
      </c>
      <c r="D17" s="4">
        <v>20007</v>
      </c>
      <c r="E17" s="6">
        <v>45747</v>
      </c>
      <c r="F17" s="8">
        <v>13.643969999999999</v>
      </c>
      <c r="G17" s="7">
        <f t="shared" si="0"/>
        <v>13.643969999999999</v>
      </c>
      <c r="H17" s="7">
        <f t="shared" si="1"/>
        <v>0.20465955</v>
      </c>
    </row>
    <row r="18" spans="1:8" ht="15" customHeight="1" x14ac:dyDescent="0.2">
      <c r="A18" s="4" t="s">
        <v>328</v>
      </c>
      <c r="B18" s="4" t="s">
        <v>7</v>
      </c>
      <c r="C18" s="5" t="s">
        <v>119</v>
      </c>
      <c r="D18" s="4">
        <v>20007</v>
      </c>
      <c r="E18" s="6">
        <v>45747</v>
      </c>
      <c r="F18" s="8">
        <v>21.904599999999999</v>
      </c>
      <c r="G18" s="7">
        <f t="shared" si="0"/>
        <v>21.904599999999999</v>
      </c>
      <c r="H18" s="7">
        <f t="shared" si="1"/>
        <v>0.32856899999999994</v>
      </c>
    </row>
    <row r="19" spans="1:8" ht="15" customHeight="1" x14ac:dyDescent="0.2">
      <c r="A19" s="4" t="s">
        <v>328</v>
      </c>
      <c r="B19" s="4" t="s">
        <v>7</v>
      </c>
      <c r="C19" s="5" t="s">
        <v>120</v>
      </c>
      <c r="D19" s="4">
        <v>20007</v>
      </c>
      <c r="E19" s="6">
        <v>45747</v>
      </c>
      <c r="F19" s="8">
        <v>161.87860000000001</v>
      </c>
      <c r="G19" s="7">
        <f t="shared" si="0"/>
        <v>161.87860000000001</v>
      </c>
      <c r="H19" s="7">
        <f t="shared" si="1"/>
        <v>2.4281790000000001</v>
      </c>
    </row>
    <row r="20" spans="1:8" ht="15" customHeight="1" x14ac:dyDescent="0.2">
      <c r="A20" s="4" t="s">
        <v>328</v>
      </c>
      <c r="B20" s="4" t="s">
        <v>7</v>
      </c>
      <c r="C20" s="5" t="s">
        <v>121</v>
      </c>
      <c r="D20" s="4">
        <v>20007</v>
      </c>
      <c r="E20" s="6">
        <v>45747</v>
      </c>
      <c r="F20" s="8">
        <v>10.305</v>
      </c>
      <c r="G20" s="7">
        <f t="shared" si="0"/>
        <v>10.305</v>
      </c>
      <c r="H20" s="7">
        <f t="shared" si="1"/>
        <v>0.15457499999999999</v>
      </c>
    </row>
    <row r="21" spans="1:8" ht="15" customHeight="1" x14ac:dyDescent="0.2">
      <c r="A21" s="4" t="s">
        <v>328</v>
      </c>
      <c r="B21" s="4" t="s">
        <v>7</v>
      </c>
      <c r="C21" s="5" t="s">
        <v>122</v>
      </c>
      <c r="D21" s="4">
        <v>20007</v>
      </c>
      <c r="E21" s="6">
        <v>45747</v>
      </c>
      <c r="F21" s="8">
        <v>86.555340000000001</v>
      </c>
      <c r="G21" s="7">
        <f t="shared" si="0"/>
        <v>86.555340000000001</v>
      </c>
      <c r="H21" s="7">
        <f t="shared" si="1"/>
        <v>1.2983301</v>
      </c>
    </row>
    <row r="22" spans="1:8" ht="15" customHeight="1" x14ac:dyDescent="0.2">
      <c r="A22" s="4" t="s">
        <v>328</v>
      </c>
      <c r="B22" s="4" t="s">
        <v>7</v>
      </c>
      <c r="C22" s="5" t="s">
        <v>123</v>
      </c>
      <c r="D22" s="4">
        <v>20007</v>
      </c>
      <c r="E22" s="6">
        <v>45747</v>
      </c>
      <c r="F22" s="8">
        <v>92.119900000000001</v>
      </c>
      <c r="G22" s="7">
        <f t="shared" si="0"/>
        <v>92.119900000000001</v>
      </c>
      <c r="H22" s="7">
        <f t="shared" si="1"/>
        <v>1.3817984999999999</v>
      </c>
    </row>
    <row r="23" spans="1:8" ht="15" customHeight="1" x14ac:dyDescent="0.2">
      <c r="A23" s="4" t="s">
        <v>328</v>
      </c>
      <c r="B23" s="4" t="s">
        <v>7</v>
      </c>
      <c r="C23" s="5" t="s">
        <v>179</v>
      </c>
      <c r="D23" s="4">
        <v>20007</v>
      </c>
      <c r="E23" s="6">
        <v>45747</v>
      </c>
      <c r="F23" s="8">
        <v>45.644150000000003</v>
      </c>
      <c r="G23" s="7">
        <f t="shared" si="0"/>
        <v>45.644150000000003</v>
      </c>
      <c r="H23" s="7">
        <f t="shared" si="1"/>
        <v>0.68466225000000003</v>
      </c>
    </row>
    <row r="24" spans="1:8" ht="15" customHeight="1" x14ac:dyDescent="0.2">
      <c r="A24" s="4" t="s">
        <v>328</v>
      </c>
      <c r="B24" s="4" t="s">
        <v>7</v>
      </c>
      <c r="C24" s="5" t="s">
        <v>180</v>
      </c>
      <c r="D24" s="4">
        <v>20007</v>
      </c>
      <c r="E24" s="6">
        <v>45747</v>
      </c>
      <c r="F24" s="8">
        <v>69.605999999999995</v>
      </c>
      <c r="G24" s="7">
        <f t="shared" si="0"/>
        <v>69.605999999999995</v>
      </c>
      <c r="H24" s="7">
        <f t="shared" si="1"/>
        <v>1.04409</v>
      </c>
    </row>
    <row r="25" spans="1:8" ht="15" customHeight="1" x14ac:dyDescent="0.2">
      <c r="A25" s="4" t="s">
        <v>328</v>
      </c>
      <c r="B25" s="4" t="s">
        <v>7</v>
      </c>
      <c r="C25" s="5" t="s">
        <v>181</v>
      </c>
      <c r="D25" s="4">
        <v>20007</v>
      </c>
      <c r="E25" s="6">
        <v>45747</v>
      </c>
      <c r="F25" s="8">
        <v>1.29545</v>
      </c>
      <c r="G25" s="7">
        <f t="shared" si="0"/>
        <v>1.29545</v>
      </c>
      <c r="H25" s="7">
        <f t="shared" si="1"/>
        <v>1.9431749999999998E-2</v>
      </c>
    </row>
    <row r="26" spans="1:8" ht="15" customHeight="1" x14ac:dyDescent="0.2">
      <c r="A26" s="4" t="s">
        <v>328</v>
      </c>
      <c r="B26" s="4" t="s">
        <v>7</v>
      </c>
      <c r="C26" s="5" t="s">
        <v>229</v>
      </c>
      <c r="D26" s="4">
        <v>20007</v>
      </c>
      <c r="E26" s="6">
        <v>45747</v>
      </c>
      <c r="F26" s="8">
        <v>0.68500000000000005</v>
      </c>
      <c r="G26" s="7">
        <f t="shared" si="0"/>
        <v>0.68500000000000005</v>
      </c>
      <c r="H26" s="7">
        <f t="shared" si="1"/>
        <v>1.0275000000000001E-2</v>
      </c>
    </row>
    <row r="27" spans="1:8" ht="15" customHeight="1" x14ac:dyDescent="0.2">
      <c r="A27" s="4" t="s">
        <v>328</v>
      </c>
      <c r="B27" s="4" t="s">
        <v>7</v>
      </c>
      <c r="C27" s="5" t="s">
        <v>230</v>
      </c>
      <c r="D27" s="4">
        <v>20007</v>
      </c>
      <c r="E27" s="6">
        <v>45747</v>
      </c>
      <c r="F27" s="8">
        <v>17.616129999999998</v>
      </c>
      <c r="G27" s="7">
        <f t="shared" si="0"/>
        <v>17.616129999999998</v>
      </c>
      <c r="H27" s="7">
        <f t="shared" si="1"/>
        <v>0.26424194999999995</v>
      </c>
    </row>
    <row r="28" spans="1:8" ht="15" customHeight="1" x14ac:dyDescent="0.2">
      <c r="A28" s="4" t="s">
        <v>328</v>
      </c>
      <c r="B28" s="4" t="s">
        <v>7</v>
      </c>
      <c r="C28" s="5" t="s">
        <v>231</v>
      </c>
      <c r="D28" s="4">
        <v>20007</v>
      </c>
      <c r="E28" s="6">
        <v>45747</v>
      </c>
      <c r="F28" s="8">
        <v>12.848800000000001</v>
      </c>
      <c r="G28" s="7">
        <f t="shared" si="0"/>
        <v>12.848800000000001</v>
      </c>
      <c r="H28" s="7">
        <f t="shared" si="1"/>
        <v>0.19273200000000001</v>
      </c>
    </row>
    <row r="29" spans="1:8" ht="15" customHeight="1" x14ac:dyDescent="0.2">
      <c r="A29" s="4" t="s">
        <v>328</v>
      </c>
      <c r="B29" s="4" t="s">
        <v>7</v>
      </c>
      <c r="C29" s="5" t="s">
        <v>232</v>
      </c>
      <c r="D29" s="4">
        <v>20007</v>
      </c>
      <c r="E29" s="6">
        <v>45747</v>
      </c>
      <c r="F29" s="8">
        <v>35.293799999999997</v>
      </c>
      <c r="G29" s="7">
        <f t="shared" si="0"/>
        <v>35.293799999999997</v>
      </c>
      <c r="H29" s="7">
        <f t="shared" si="1"/>
        <v>0.52940699999999996</v>
      </c>
    </row>
    <row r="30" spans="1:8" ht="15" customHeight="1" x14ac:dyDescent="0.2">
      <c r="A30" s="4" t="s">
        <v>328</v>
      </c>
      <c r="B30" s="4" t="s">
        <v>7</v>
      </c>
      <c r="C30" s="5" t="s">
        <v>233</v>
      </c>
      <c r="D30" s="4">
        <v>20007</v>
      </c>
      <c r="E30" s="6">
        <v>45747</v>
      </c>
      <c r="F30" s="8">
        <v>14.79407</v>
      </c>
      <c r="G30" s="7">
        <f t="shared" si="0"/>
        <v>14.79407</v>
      </c>
      <c r="H30" s="7">
        <f t="shared" si="1"/>
        <v>0.22191105</v>
      </c>
    </row>
    <row r="31" spans="1:8" ht="15" customHeight="1" x14ac:dyDescent="0.2">
      <c r="A31" s="4" t="s">
        <v>328</v>
      </c>
      <c r="B31" s="4" t="s">
        <v>7</v>
      </c>
      <c r="C31" s="5" t="s">
        <v>234</v>
      </c>
      <c r="D31" s="4">
        <v>20007</v>
      </c>
      <c r="E31" s="6">
        <v>45747</v>
      </c>
      <c r="F31" s="8">
        <v>821.54280000000006</v>
      </c>
      <c r="G31" s="7">
        <f t="shared" si="0"/>
        <v>821.54280000000006</v>
      </c>
      <c r="H31" s="7">
        <f t="shared" si="1"/>
        <v>12.323142000000001</v>
      </c>
    </row>
    <row r="32" spans="1:8" ht="15" customHeight="1" x14ac:dyDescent="0.2">
      <c r="A32" s="4" t="s">
        <v>328</v>
      </c>
      <c r="B32" s="4" t="s">
        <v>7</v>
      </c>
      <c r="C32" s="5" t="s">
        <v>235</v>
      </c>
      <c r="D32" s="4">
        <v>20007</v>
      </c>
      <c r="E32" s="6">
        <v>45747</v>
      </c>
      <c r="F32" s="8">
        <v>416.29570000000001</v>
      </c>
      <c r="G32" s="7">
        <f t="shared" si="0"/>
        <v>416.29570000000001</v>
      </c>
      <c r="H32" s="7">
        <f t="shared" si="1"/>
        <v>6.2444354999999998</v>
      </c>
    </row>
    <row r="33" spans="1:8" ht="15" customHeight="1" x14ac:dyDescent="0.2">
      <c r="A33" s="4" t="s">
        <v>328</v>
      </c>
      <c r="B33" s="4" t="s">
        <v>7</v>
      </c>
      <c r="C33" s="5" t="s">
        <v>236</v>
      </c>
      <c r="D33" s="4">
        <v>20007</v>
      </c>
      <c r="E33" s="6">
        <v>45747</v>
      </c>
      <c r="F33" s="8">
        <v>28.919049999999999</v>
      </c>
      <c r="G33" s="7">
        <f t="shared" si="0"/>
        <v>28.919049999999999</v>
      </c>
      <c r="H33" s="7">
        <f t="shared" si="1"/>
        <v>0.43378574999999997</v>
      </c>
    </row>
    <row r="34" spans="1:8" ht="15" customHeight="1" x14ac:dyDescent="0.2">
      <c r="A34" s="4" t="s">
        <v>328</v>
      </c>
      <c r="B34" s="4" t="s">
        <v>7</v>
      </c>
      <c r="C34" s="5" t="s">
        <v>237</v>
      </c>
      <c r="D34" s="4">
        <v>20007</v>
      </c>
      <c r="E34" s="6">
        <v>45747</v>
      </c>
      <c r="F34" s="8">
        <v>134.5325</v>
      </c>
      <c r="G34" s="7">
        <f t="shared" si="0"/>
        <v>134.5325</v>
      </c>
      <c r="H34" s="7">
        <f t="shared" si="1"/>
        <v>2.0179874999999998</v>
      </c>
    </row>
    <row r="35" spans="1:8" ht="15" customHeight="1" x14ac:dyDescent="0.2">
      <c r="A35" s="4" t="s">
        <v>328</v>
      </c>
      <c r="B35" s="4" t="s">
        <v>7</v>
      </c>
      <c r="C35" s="5" t="s">
        <v>238</v>
      </c>
      <c r="D35" s="4">
        <v>20007</v>
      </c>
      <c r="E35" s="6">
        <v>45747</v>
      </c>
      <c r="F35" s="8">
        <v>1174.961</v>
      </c>
      <c r="G35" s="7">
        <f t="shared" si="0"/>
        <v>1174.961</v>
      </c>
      <c r="H35" s="7">
        <f t="shared" si="1"/>
        <v>17.624414999999999</v>
      </c>
    </row>
    <row r="36" spans="1:8" ht="15" customHeight="1" x14ac:dyDescent="0.2">
      <c r="A36" s="4" t="s">
        <v>328</v>
      </c>
      <c r="B36" s="4" t="s">
        <v>7</v>
      </c>
      <c r="C36" s="5" t="s">
        <v>239</v>
      </c>
      <c r="D36" s="4">
        <v>20007</v>
      </c>
      <c r="E36" s="6">
        <v>45747</v>
      </c>
      <c r="F36" s="8">
        <v>9.8608139999999995</v>
      </c>
      <c r="G36" s="7">
        <f t="shared" si="0"/>
        <v>9.8608139999999995</v>
      </c>
      <c r="H36" s="7">
        <f t="shared" si="1"/>
        <v>0.14791220999999999</v>
      </c>
    </row>
    <row r="37" spans="1:8" ht="15" customHeight="1" x14ac:dyDescent="0.2">
      <c r="A37" s="4" t="s">
        <v>328</v>
      </c>
      <c r="B37" s="4" t="s">
        <v>7</v>
      </c>
      <c r="C37" s="4" t="s">
        <v>240</v>
      </c>
      <c r="D37" s="4">
        <v>20007</v>
      </c>
      <c r="E37" s="6">
        <v>45747</v>
      </c>
      <c r="F37" s="7">
        <v>648.58910000000003</v>
      </c>
      <c r="G37" s="7">
        <f t="shared" si="0"/>
        <v>648.58910000000003</v>
      </c>
      <c r="H37" s="7">
        <f t="shared" si="1"/>
        <v>9.7288364999999999</v>
      </c>
    </row>
    <row r="38" spans="1:8" ht="15" customHeight="1" x14ac:dyDescent="0.2">
      <c r="A38" s="4" t="s">
        <v>328</v>
      </c>
      <c r="B38" s="4" t="s">
        <v>7</v>
      </c>
      <c r="C38" s="4" t="s">
        <v>241</v>
      </c>
      <c r="D38" s="4">
        <v>20007</v>
      </c>
      <c r="E38" s="6">
        <v>45747</v>
      </c>
      <c r="F38" s="7">
        <v>164.34780000000001</v>
      </c>
      <c r="G38" s="7">
        <f t="shared" si="0"/>
        <v>164.34780000000001</v>
      </c>
      <c r="H38" s="7">
        <f t="shared" si="1"/>
        <v>2.465217</v>
      </c>
    </row>
    <row r="39" spans="1:8" ht="15" customHeight="1" x14ac:dyDescent="0.2">
      <c r="A39" s="4" t="s">
        <v>328</v>
      </c>
      <c r="B39" s="4" t="s">
        <v>7</v>
      </c>
      <c r="C39" s="4" t="s">
        <v>242</v>
      </c>
      <c r="D39" s="4">
        <v>20007</v>
      </c>
      <c r="E39" s="6">
        <v>45747</v>
      </c>
      <c r="F39" s="7">
        <v>64.1374</v>
      </c>
      <c r="G39" s="7">
        <f t="shared" si="0"/>
        <v>64.1374</v>
      </c>
      <c r="H39" s="7">
        <f t="shared" si="1"/>
        <v>0.96206099999999994</v>
      </c>
    </row>
    <row r="40" spans="1:8" ht="15" customHeight="1" x14ac:dyDescent="0.2">
      <c r="A40" s="4" t="s">
        <v>328</v>
      </c>
      <c r="B40" s="4" t="s">
        <v>7</v>
      </c>
      <c r="C40" s="4" t="s">
        <v>243</v>
      </c>
      <c r="D40" s="4">
        <v>20007</v>
      </c>
      <c r="E40" s="6">
        <v>45747</v>
      </c>
      <c r="F40" s="7">
        <v>134.31970000000001</v>
      </c>
      <c r="G40" s="7">
        <f t="shared" si="0"/>
        <v>134.31970000000001</v>
      </c>
      <c r="H40" s="7">
        <f t="shared" si="1"/>
        <v>2.0147955</v>
      </c>
    </row>
    <row r="41" spans="1:8" ht="15" customHeight="1" x14ac:dyDescent="0.2">
      <c r="A41" s="4" t="s">
        <v>328</v>
      </c>
      <c r="B41" s="4" t="s">
        <v>7</v>
      </c>
      <c r="C41" s="4" t="s">
        <v>244</v>
      </c>
      <c r="D41" s="4">
        <v>20007</v>
      </c>
      <c r="E41" s="6">
        <v>45747</v>
      </c>
      <c r="F41" s="7">
        <v>39.808999999999997</v>
      </c>
      <c r="G41" s="7">
        <f t="shared" si="0"/>
        <v>39.808999999999997</v>
      </c>
      <c r="H41" s="7">
        <f t="shared" si="1"/>
        <v>0.59713499999999997</v>
      </c>
    </row>
    <row r="42" spans="1:8" ht="15" customHeight="1" x14ac:dyDescent="0.2">
      <c r="A42" s="4" t="s">
        <v>328</v>
      </c>
      <c r="B42" s="4" t="s">
        <v>7</v>
      </c>
      <c r="C42" s="4" t="s">
        <v>245</v>
      </c>
      <c r="D42" s="4">
        <v>20007</v>
      </c>
      <c r="E42" s="6">
        <v>45747</v>
      </c>
      <c r="F42" s="7">
        <v>17.927969999999998</v>
      </c>
      <c r="G42" s="7">
        <f t="shared" si="0"/>
        <v>17.927969999999998</v>
      </c>
      <c r="H42" s="7">
        <f t="shared" si="1"/>
        <v>0.26891954999999995</v>
      </c>
    </row>
    <row r="43" spans="1:8" ht="15" customHeight="1" x14ac:dyDescent="0.2">
      <c r="A43" s="4" t="s">
        <v>328</v>
      </c>
      <c r="B43" s="4" t="s">
        <v>7</v>
      </c>
      <c r="C43" s="4" t="s">
        <v>246</v>
      </c>
      <c r="D43" s="4">
        <v>20007</v>
      </c>
      <c r="E43" s="6">
        <v>45747</v>
      </c>
      <c r="F43" s="7">
        <v>244.0051</v>
      </c>
      <c r="G43" s="7">
        <f t="shared" si="0"/>
        <v>244.0051</v>
      </c>
      <c r="H43" s="7">
        <f t="shared" si="1"/>
        <v>3.6600764999999997</v>
      </c>
    </row>
    <row r="44" spans="1:8" ht="15" customHeight="1" x14ac:dyDescent="0.2">
      <c r="A44" s="4" t="s">
        <v>328</v>
      </c>
      <c r="B44" s="4" t="s">
        <v>7</v>
      </c>
      <c r="C44" s="4" t="s">
        <v>247</v>
      </c>
      <c r="D44" s="4">
        <v>20007</v>
      </c>
      <c r="E44" s="6">
        <v>45747</v>
      </c>
      <c r="F44" s="7">
        <v>279.59269999999998</v>
      </c>
      <c r="G44" s="7">
        <f t="shared" si="0"/>
        <v>279.59269999999998</v>
      </c>
      <c r="H44" s="7">
        <f t="shared" si="1"/>
        <v>4.1938904999999993</v>
      </c>
    </row>
    <row r="45" spans="1:8" ht="15" customHeight="1" x14ac:dyDescent="0.2">
      <c r="A45" s="4" t="s">
        <v>328</v>
      </c>
      <c r="B45" s="4" t="s">
        <v>7</v>
      </c>
      <c r="C45" s="4" t="s">
        <v>248</v>
      </c>
      <c r="D45" s="4">
        <v>20007</v>
      </c>
      <c r="E45" s="6">
        <v>45747</v>
      </c>
      <c r="F45" s="7">
        <v>115.07129999999999</v>
      </c>
      <c r="G45" s="7">
        <f t="shared" si="0"/>
        <v>115.07129999999999</v>
      </c>
      <c r="H45" s="7">
        <f t="shared" si="1"/>
        <v>1.7260694999999999</v>
      </c>
    </row>
    <row r="46" spans="1:8" ht="15" customHeight="1" x14ac:dyDescent="0.2">
      <c r="A46" s="4" t="s">
        <v>328</v>
      </c>
      <c r="B46" s="4" t="s">
        <v>7</v>
      </c>
      <c r="C46" s="4" t="s">
        <v>249</v>
      </c>
      <c r="D46" s="4">
        <v>20007</v>
      </c>
      <c r="E46" s="6">
        <v>45747</v>
      </c>
      <c r="F46" s="7">
        <v>978.52440000000001</v>
      </c>
      <c r="G46" s="7">
        <f t="shared" si="0"/>
        <v>978.52440000000001</v>
      </c>
      <c r="H46" s="7">
        <f t="shared" si="1"/>
        <v>14.677866</v>
      </c>
    </row>
    <row r="47" spans="1:8" ht="15" customHeight="1" x14ac:dyDescent="0.2">
      <c r="A47" s="4" t="s">
        <v>328</v>
      </c>
      <c r="B47" s="4" t="s">
        <v>7</v>
      </c>
      <c r="C47" s="4" t="s">
        <v>250</v>
      </c>
      <c r="D47" s="4">
        <v>20007</v>
      </c>
      <c r="E47" s="6">
        <v>45747</v>
      </c>
      <c r="F47" s="7">
        <v>62.793019999999999</v>
      </c>
      <c r="G47" s="7">
        <f t="shared" si="0"/>
        <v>62.793019999999999</v>
      </c>
      <c r="H47" s="7">
        <f t="shared" si="1"/>
        <v>0.94189529999999999</v>
      </c>
    </row>
    <row r="48" spans="1:8" ht="15" customHeight="1" x14ac:dyDescent="0.2">
      <c r="A48" s="4" t="s">
        <v>328</v>
      </c>
      <c r="B48" s="4" t="s">
        <v>7</v>
      </c>
      <c r="C48" s="4" t="s">
        <v>251</v>
      </c>
      <c r="D48" s="4">
        <v>20007</v>
      </c>
      <c r="E48" s="6">
        <v>45747</v>
      </c>
      <c r="F48" s="7">
        <v>23.68497</v>
      </c>
      <c r="G48" s="7">
        <f t="shared" si="0"/>
        <v>23.68497</v>
      </c>
      <c r="H48" s="7">
        <f t="shared" si="1"/>
        <v>0.35527454999999997</v>
      </c>
    </row>
    <row r="49" spans="1:8" ht="15" customHeight="1" x14ac:dyDescent="0.2">
      <c r="A49" s="4" t="s">
        <v>328</v>
      </c>
      <c r="B49" s="4" t="s">
        <v>7</v>
      </c>
      <c r="C49" s="4" t="s">
        <v>252</v>
      </c>
      <c r="D49" s="4">
        <v>20007</v>
      </c>
      <c r="E49" s="6">
        <v>45747</v>
      </c>
      <c r="F49" s="7">
        <v>41.02</v>
      </c>
      <c r="G49" s="7">
        <f t="shared" si="0"/>
        <v>41.02</v>
      </c>
      <c r="H49" s="7">
        <f t="shared" si="1"/>
        <v>0.61530000000000007</v>
      </c>
    </row>
    <row r="50" spans="1:8" ht="15" customHeight="1" x14ac:dyDescent="0.2">
      <c r="A50" s="4" t="s">
        <v>328</v>
      </c>
      <c r="B50" s="4" t="s">
        <v>7</v>
      </c>
      <c r="C50" s="4" t="s">
        <v>253</v>
      </c>
      <c r="D50" s="4">
        <v>20007</v>
      </c>
      <c r="E50" s="6">
        <v>45747</v>
      </c>
      <c r="F50" s="7">
        <v>188.65860000000001</v>
      </c>
      <c r="G50" s="7">
        <f t="shared" si="0"/>
        <v>188.65860000000001</v>
      </c>
      <c r="H50" s="7">
        <f t="shared" si="1"/>
        <v>2.829879</v>
      </c>
    </row>
    <row r="51" spans="1:8" ht="15" customHeight="1" x14ac:dyDescent="0.2">
      <c r="A51" s="4" t="s">
        <v>328</v>
      </c>
      <c r="B51" s="4" t="s">
        <v>7</v>
      </c>
      <c r="C51" s="4" t="s">
        <v>254</v>
      </c>
      <c r="D51" s="4">
        <v>20007</v>
      </c>
      <c r="E51" s="6">
        <v>45747</v>
      </c>
      <c r="F51" s="7">
        <v>3.3733399999999998</v>
      </c>
      <c r="G51" s="7">
        <f t="shared" si="0"/>
        <v>3.3733399999999998</v>
      </c>
      <c r="H51" s="7">
        <f t="shared" si="1"/>
        <v>5.0600099999999995E-2</v>
      </c>
    </row>
    <row r="52" spans="1:8" ht="15" customHeight="1" x14ac:dyDescent="0.2">
      <c r="A52" s="4" t="s">
        <v>328</v>
      </c>
      <c r="B52" s="4" t="s">
        <v>7</v>
      </c>
      <c r="C52" s="4" t="s">
        <v>255</v>
      </c>
      <c r="D52" s="4">
        <v>20007</v>
      </c>
      <c r="E52" s="6">
        <v>45747</v>
      </c>
      <c r="F52" s="7">
        <v>61.824590000000001</v>
      </c>
      <c r="G52" s="7">
        <f t="shared" si="0"/>
        <v>61.824590000000001</v>
      </c>
      <c r="H52" s="7">
        <f t="shared" si="1"/>
        <v>0.92736885000000002</v>
      </c>
    </row>
    <row r="53" spans="1:8" ht="15" customHeight="1" x14ac:dyDescent="0.2">
      <c r="A53" s="4" t="s">
        <v>328</v>
      </c>
      <c r="B53" s="4" t="s">
        <v>7</v>
      </c>
      <c r="C53" s="4" t="s">
        <v>336</v>
      </c>
      <c r="D53" s="4">
        <v>20007</v>
      </c>
      <c r="E53" s="6">
        <v>45747</v>
      </c>
      <c r="F53" s="7">
        <v>16.45636</v>
      </c>
      <c r="G53" s="7">
        <f t="shared" si="0"/>
        <v>16.45636</v>
      </c>
      <c r="H53" s="7">
        <f t="shared" si="1"/>
        <v>0.24684539999999999</v>
      </c>
    </row>
    <row r="54" spans="1:8" ht="15" customHeight="1" x14ac:dyDescent="0.2">
      <c r="A54" s="4" t="s">
        <v>328</v>
      </c>
      <c r="B54" s="4" t="s">
        <v>7</v>
      </c>
      <c r="C54" s="4" t="s">
        <v>337</v>
      </c>
      <c r="D54" s="4">
        <v>20007</v>
      </c>
      <c r="E54" s="6">
        <v>45747</v>
      </c>
      <c r="F54" s="7">
        <v>96.397350000000003</v>
      </c>
      <c r="G54" s="7">
        <f t="shared" si="0"/>
        <v>96.397350000000003</v>
      </c>
      <c r="H54" s="7">
        <f t="shared" si="1"/>
        <v>1.4459602499999999</v>
      </c>
    </row>
    <row r="55" spans="1:8" ht="15" customHeight="1" x14ac:dyDescent="0.2">
      <c r="A55" s="4" t="s">
        <v>328</v>
      </c>
      <c r="B55" s="4" t="s">
        <v>7</v>
      </c>
      <c r="C55" s="4" t="s">
        <v>256</v>
      </c>
      <c r="D55" s="4">
        <v>20007</v>
      </c>
      <c r="E55" s="6">
        <v>45747</v>
      </c>
      <c r="F55" s="7">
        <v>1727.3109999999999</v>
      </c>
      <c r="G55" s="7">
        <f t="shared" si="0"/>
        <v>1727.3109999999999</v>
      </c>
      <c r="H55" s="7">
        <f t="shared" si="1"/>
        <v>25.909664999999997</v>
      </c>
    </row>
    <row r="56" spans="1:8" ht="15" customHeight="1" x14ac:dyDescent="0.2">
      <c r="A56" s="4" t="s">
        <v>328</v>
      </c>
      <c r="B56" s="4" t="s">
        <v>7</v>
      </c>
      <c r="C56" s="4" t="s">
        <v>257</v>
      </c>
      <c r="D56" s="4">
        <v>20007</v>
      </c>
      <c r="E56" s="6">
        <v>45747</v>
      </c>
      <c r="F56" s="7">
        <v>246.4991</v>
      </c>
      <c r="G56" s="7">
        <f t="shared" si="0"/>
        <v>246.4991</v>
      </c>
      <c r="H56" s="7">
        <f t="shared" si="1"/>
        <v>3.6974864999999997</v>
      </c>
    </row>
    <row r="57" spans="1:8" ht="15" customHeight="1" x14ac:dyDescent="0.2">
      <c r="A57" s="4" t="s">
        <v>328</v>
      </c>
      <c r="B57" s="4" t="s">
        <v>7</v>
      </c>
      <c r="C57" s="4" t="s">
        <v>258</v>
      </c>
      <c r="D57" s="4">
        <v>20007</v>
      </c>
      <c r="E57" s="6">
        <v>45747</v>
      </c>
      <c r="F57" s="7">
        <v>317.88440000000003</v>
      </c>
      <c r="G57" s="7">
        <f t="shared" si="0"/>
        <v>317.88440000000003</v>
      </c>
      <c r="H57" s="7">
        <f t="shared" si="1"/>
        <v>4.7682660000000006</v>
      </c>
    </row>
    <row r="58" spans="1:8" ht="15" customHeight="1" x14ac:dyDescent="0.2">
      <c r="A58" s="4" t="s">
        <v>328</v>
      </c>
      <c r="B58" s="4" t="s">
        <v>7</v>
      </c>
      <c r="C58" s="4" t="s">
        <v>316</v>
      </c>
      <c r="D58" s="4">
        <v>20007</v>
      </c>
      <c r="E58" s="6">
        <v>45747</v>
      </c>
      <c r="F58" s="7">
        <v>1.8352999999999999</v>
      </c>
      <c r="G58" s="7">
        <f t="shared" si="0"/>
        <v>1.8352999999999999</v>
      </c>
      <c r="H58" s="7">
        <f t="shared" si="1"/>
        <v>2.7529499999999998E-2</v>
      </c>
    </row>
    <row r="59" spans="1:8" ht="15" customHeight="1" x14ac:dyDescent="0.2">
      <c r="A59" s="4" t="s">
        <v>328</v>
      </c>
      <c r="B59" s="4" t="s">
        <v>7</v>
      </c>
      <c r="C59" s="4" t="s">
        <v>104</v>
      </c>
      <c r="D59" s="4">
        <v>20007</v>
      </c>
      <c r="E59" s="6">
        <v>45747</v>
      </c>
      <c r="F59" s="7">
        <v>48.204999999999998</v>
      </c>
      <c r="G59" s="7">
        <f t="shared" si="0"/>
        <v>48.204999999999998</v>
      </c>
      <c r="H59" s="7">
        <f t="shared" si="1"/>
        <v>0.72307499999999991</v>
      </c>
    </row>
    <row r="60" spans="1:8" ht="15" customHeight="1" x14ac:dyDescent="0.2">
      <c r="A60" s="4" t="s">
        <v>328</v>
      </c>
      <c r="B60" s="4" t="s">
        <v>7</v>
      </c>
      <c r="C60" s="4" t="s">
        <v>105</v>
      </c>
      <c r="D60" s="4">
        <v>20007</v>
      </c>
      <c r="E60" s="6">
        <v>45747</v>
      </c>
      <c r="F60" s="7">
        <v>43.1815</v>
      </c>
      <c r="G60" s="7">
        <f t="shared" si="0"/>
        <v>43.1815</v>
      </c>
      <c r="H60" s="7">
        <f t="shared" si="1"/>
        <v>0.64772249999999998</v>
      </c>
    </row>
    <row r="61" spans="1:8" ht="15" customHeight="1" x14ac:dyDescent="0.2">
      <c r="A61" s="4" t="s">
        <v>328</v>
      </c>
      <c r="B61" s="4" t="s">
        <v>7</v>
      </c>
      <c r="C61" s="4" t="s">
        <v>106</v>
      </c>
      <c r="D61" s="4">
        <v>20007</v>
      </c>
      <c r="E61" s="6">
        <v>45747</v>
      </c>
      <c r="F61" s="7">
        <v>22.494990000000001</v>
      </c>
      <c r="G61" s="7">
        <f t="shared" si="0"/>
        <v>22.494990000000001</v>
      </c>
      <c r="H61" s="7">
        <f t="shared" si="1"/>
        <v>0.33742485</v>
      </c>
    </row>
    <row r="62" spans="1:8" ht="15" customHeight="1" x14ac:dyDescent="0.2">
      <c r="A62" s="4" t="s">
        <v>328</v>
      </c>
      <c r="B62" s="4" t="s">
        <v>7</v>
      </c>
      <c r="C62" s="4" t="s">
        <v>107</v>
      </c>
      <c r="D62" s="4">
        <v>20007</v>
      </c>
      <c r="E62" s="6">
        <v>45747</v>
      </c>
      <c r="F62" s="7">
        <v>1.4728859999999999</v>
      </c>
      <c r="G62" s="7">
        <f t="shared" si="0"/>
        <v>1.4728859999999999</v>
      </c>
      <c r="H62" s="7">
        <f t="shared" si="1"/>
        <v>2.2093289999999998E-2</v>
      </c>
    </row>
    <row r="63" spans="1:8" ht="15" customHeight="1" x14ac:dyDescent="0.2">
      <c r="A63" s="4" t="s">
        <v>328</v>
      </c>
      <c r="B63" s="4" t="s">
        <v>7</v>
      </c>
      <c r="C63" s="4" t="s">
        <v>108</v>
      </c>
      <c r="D63" s="4">
        <v>20007</v>
      </c>
      <c r="E63" s="6">
        <v>45747</v>
      </c>
      <c r="F63" s="7">
        <v>37.82291</v>
      </c>
      <c r="G63" s="7">
        <f t="shared" si="0"/>
        <v>37.82291</v>
      </c>
      <c r="H63" s="7">
        <f t="shared" si="1"/>
        <v>0.56734364999999998</v>
      </c>
    </row>
    <row r="64" spans="1:8" ht="15" customHeight="1" x14ac:dyDescent="0.2">
      <c r="A64" s="4" t="s">
        <v>328</v>
      </c>
      <c r="B64" s="4" t="s">
        <v>7</v>
      </c>
      <c r="C64" s="4" t="s">
        <v>109</v>
      </c>
      <c r="D64" s="4">
        <v>20007</v>
      </c>
      <c r="E64" s="6">
        <v>45747</v>
      </c>
      <c r="F64" s="7">
        <v>3.5496989999999999</v>
      </c>
      <c r="G64" s="7">
        <f t="shared" ref="G64:G125" si="2">F64</f>
        <v>3.5496989999999999</v>
      </c>
      <c r="H64" s="7">
        <f t="shared" ref="H64:H125" si="3">G64*0.015</f>
        <v>5.3245484999999995E-2</v>
      </c>
    </row>
    <row r="65" spans="1:8" ht="15" customHeight="1" x14ac:dyDescent="0.2">
      <c r="A65" s="4" t="s">
        <v>328</v>
      </c>
      <c r="B65" s="4" t="s">
        <v>7</v>
      </c>
      <c r="C65" s="4" t="s">
        <v>266</v>
      </c>
      <c r="D65" s="4">
        <v>20007</v>
      </c>
      <c r="E65" s="6">
        <v>45747</v>
      </c>
      <c r="F65" s="7">
        <v>57.89911</v>
      </c>
      <c r="G65" s="7">
        <f t="shared" si="2"/>
        <v>57.89911</v>
      </c>
      <c r="H65" s="7">
        <f t="shared" si="3"/>
        <v>0.86848665000000003</v>
      </c>
    </row>
    <row r="66" spans="1:8" ht="15" customHeight="1" x14ac:dyDescent="0.2">
      <c r="A66" s="4" t="s">
        <v>328</v>
      </c>
      <c r="B66" s="4" t="s">
        <v>7</v>
      </c>
      <c r="C66" s="4" t="s">
        <v>268</v>
      </c>
      <c r="D66" s="4">
        <v>20007</v>
      </c>
      <c r="E66" s="6">
        <v>45747</v>
      </c>
      <c r="F66" s="7">
        <v>382.279</v>
      </c>
      <c r="G66" s="7">
        <f t="shared" si="2"/>
        <v>382.279</v>
      </c>
      <c r="H66" s="7">
        <f t="shared" si="3"/>
        <v>5.7341850000000001</v>
      </c>
    </row>
    <row r="67" spans="1:8" ht="15" customHeight="1" x14ac:dyDescent="0.2">
      <c r="A67" s="4" t="s">
        <v>328</v>
      </c>
      <c r="B67" s="4" t="s">
        <v>7</v>
      </c>
      <c r="C67" s="4" t="s">
        <v>270</v>
      </c>
      <c r="D67" s="4">
        <v>20007</v>
      </c>
      <c r="E67" s="6">
        <v>45747</v>
      </c>
      <c r="F67" s="7">
        <v>39.989519999999999</v>
      </c>
      <c r="G67" s="7">
        <f t="shared" si="2"/>
        <v>39.989519999999999</v>
      </c>
      <c r="H67" s="7">
        <f t="shared" si="3"/>
        <v>0.59984280000000001</v>
      </c>
    </row>
    <row r="68" spans="1:8" ht="15" customHeight="1" x14ac:dyDescent="0.2">
      <c r="A68" s="4" t="s">
        <v>328</v>
      </c>
      <c r="B68" s="4" t="s">
        <v>7</v>
      </c>
      <c r="C68" s="4" t="s">
        <v>271</v>
      </c>
      <c r="D68" s="4">
        <v>20007</v>
      </c>
      <c r="E68" s="6">
        <v>45747</v>
      </c>
      <c r="F68" s="7">
        <v>0.98438899999999996</v>
      </c>
      <c r="G68" s="7">
        <f t="shared" si="2"/>
        <v>0.98438899999999996</v>
      </c>
      <c r="H68" s="7">
        <f t="shared" si="3"/>
        <v>1.4765834999999998E-2</v>
      </c>
    </row>
    <row r="69" spans="1:8" ht="15" customHeight="1" x14ac:dyDescent="0.2">
      <c r="A69" s="4" t="s">
        <v>328</v>
      </c>
      <c r="B69" s="4" t="s">
        <v>7</v>
      </c>
      <c r="C69" s="4" t="s">
        <v>272</v>
      </c>
      <c r="D69" s="4">
        <v>20007</v>
      </c>
      <c r="E69" s="6">
        <v>45747</v>
      </c>
      <c r="F69" s="7">
        <v>8.2965</v>
      </c>
      <c r="G69" s="7">
        <f t="shared" si="2"/>
        <v>8.2965</v>
      </c>
      <c r="H69" s="7">
        <f t="shared" si="3"/>
        <v>0.12444749999999999</v>
      </c>
    </row>
    <row r="70" spans="1:8" ht="15" customHeight="1" x14ac:dyDescent="0.2">
      <c r="A70" s="4" t="s">
        <v>328</v>
      </c>
      <c r="B70" s="4" t="s">
        <v>7</v>
      </c>
      <c r="C70" s="4" t="s">
        <v>273</v>
      </c>
      <c r="D70" s="4">
        <v>20007</v>
      </c>
      <c r="E70" s="6">
        <v>45747</v>
      </c>
      <c r="F70" s="7">
        <v>28.93141</v>
      </c>
      <c r="G70" s="7">
        <f t="shared" si="2"/>
        <v>28.93141</v>
      </c>
      <c r="H70" s="7">
        <f t="shared" si="3"/>
        <v>0.43397114999999997</v>
      </c>
    </row>
    <row r="71" spans="1:8" ht="15" customHeight="1" x14ac:dyDescent="0.2">
      <c r="A71" s="4" t="s">
        <v>328</v>
      </c>
      <c r="B71" s="4" t="s">
        <v>7</v>
      </c>
      <c r="C71" s="4" t="s">
        <v>274</v>
      </c>
      <c r="D71" s="4">
        <v>20007</v>
      </c>
      <c r="E71" s="6">
        <v>45747</v>
      </c>
      <c r="F71" s="7">
        <v>18.5442</v>
      </c>
      <c r="G71" s="7">
        <f t="shared" si="2"/>
        <v>18.5442</v>
      </c>
      <c r="H71" s="7">
        <f t="shared" si="3"/>
        <v>0.27816299999999999</v>
      </c>
    </row>
    <row r="72" spans="1:8" ht="15" customHeight="1" x14ac:dyDescent="0.2">
      <c r="A72" s="4" t="s">
        <v>328</v>
      </c>
      <c r="B72" s="4" t="s">
        <v>7</v>
      </c>
      <c r="C72" s="4" t="s">
        <v>275</v>
      </c>
      <c r="D72" s="4">
        <v>20007</v>
      </c>
      <c r="E72" s="6">
        <v>45747</v>
      </c>
      <c r="F72" s="7">
        <v>303.0917</v>
      </c>
      <c r="G72" s="7">
        <f t="shared" si="2"/>
        <v>303.0917</v>
      </c>
      <c r="H72" s="7">
        <f t="shared" si="3"/>
        <v>4.5463754999999999</v>
      </c>
    </row>
    <row r="73" spans="1:8" ht="15" customHeight="1" x14ac:dyDescent="0.2">
      <c r="A73" s="4" t="s">
        <v>328</v>
      </c>
      <c r="B73" s="4" t="s">
        <v>7</v>
      </c>
      <c r="C73" s="4" t="s">
        <v>276</v>
      </c>
      <c r="D73" s="4">
        <v>20007</v>
      </c>
      <c r="E73" s="6">
        <v>45747</v>
      </c>
      <c r="F73" s="7">
        <v>11.5092</v>
      </c>
      <c r="G73" s="7">
        <f t="shared" si="2"/>
        <v>11.5092</v>
      </c>
      <c r="H73" s="7">
        <f t="shared" si="3"/>
        <v>0.17263799999999999</v>
      </c>
    </row>
    <row r="74" spans="1:8" ht="15" customHeight="1" x14ac:dyDescent="0.2">
      <c r="A74" s="4" t="s">
        <v>328</v>
      </c>
      <c r="B74" s="4" t="s">
        <v>7</v>
      </c>
      <c r="C74" s="4" t="s">
        <v>277</v>
      </c>
      <c r="D74" s="4">
        <v>20007</v>
      </c>
      <c r="E74" s="6">
        <v>45747</v>
      </c>
      <c r="F74" s="7">
        <v>22.847760000000001</v>
      </c>
      <c r="G74" s="7">
        <f t="shared" si="2"/>
        <v>22.847760000000001</v>
      </c>
      <c r="H74" s="7">
        <f t="shared" si="3"/>
        <v>0.34271639999999998</v>
      </c>
    </row>
    <row r="75" spans="1:8" ht="15" customHeight="1" x14ac:dyDescent="0.2">
      <c r="A75" s="4" t="s">
        <v>328</v>
      </c>
      <c r="B75" s="4" t="s">
        <v>7</v>
      </c>
      <c r="C75" s="4" t="s">
        <v>278</v>
      </c>
      <c r="D75" s="4">
        <v>20007</v>
      </c>
      <c r="E75" s="6">
        <v>45747</v>
      </c>
      <c r="F75" s="7">
        <v>20.809100000000001</v>
      </c>
      <c r="G75" s="7">
        <f t="shared" si="2"/>
        <v>20.809100000000001</v>
      </c>
      <c r="H75" s="7">
        <f t="shared" si="3"/>
        <v>0.31213649999999998</v>
      </c>
    </row>
    <row r="76" spans="1:8" ht="15" customHeight="1" x14ac:dyDescent="0.2">
      <c r="A76" s="4" t="s">
        <v>328</v>
      </c>
      <c r="B76" s="4" t="s">
        <v>7</v>
      </c>
      <c r="C76" s="4" t="s">
        <v>279</v>
      </c>
      <c r="D76" s="4">
        <v>20007</v>
      </c>
      <c r="E76" s="6">
        <v>45747</v>
      </c>
      <c r="F76" s="7">
        <v>0.39989999999999998</v>
      </c>
      <c r="G76" s="7">
        <f t="shared" si="2"/>
        <v>0.39989999999999998</v>
      </c>
      <c r="H76" s="7">
        <f t="shared" si="3"/>
        <v>5.9984999999999995E-3</v>
      </c>
    </row>
    <row r="77" spans="1:8" ht="15" customHeight="1" x14ac:dyDescent="0.2">
      <c r="A77" s="4" t="s">
        <v>328</v>
      </c>
      <c r="B77" s="4" t="s">
        <v>7</v>
      </c>
      <c r="C77" s="4" t="s">
        <v>280</v>
      </c>
      <c r="D77" s="4">
        <v>20007</v>
      </c>
      <c r="E77" s="6">
        <v>45747</v>
      </c>
      <c r="F77" s="7">
        <v>6.4637580000000003</v>
      </c>
      <c r="G77" s="7">
        <f t="shared" si="2"/>
        <v>6.4637580000000003</v>
      </c>
      <c r="H77" s="7">
        <f t="shared" si="3"/>
        <v>9.695637E-2</v>
      </c>
    </row>
    <row r="78" spans="1:8" ht="15" customHeight="1" x14ac:dyDescent="0.2">
      <c r="A78" s="4" t="s">
        <v>328</v>
      </c>
      <c r="B78" s="4" t="s">
        <v>7</v>
      </c>
      <c r="C78" s="4" t="s">
        <v>281</v>
      </c>
      <c r="D78" s="4">
        <v>20007</v>
      </c>
      <c r="E78" s="6">
        <v>45747</v>
      </c>
      <c r="F78" s="7">
        <v>40.009230000000002</v>
      </c>
      <c r="G78" s="7">
        <f t="shared" si="2"/>
        <v>40.009230000000002</v>
      </c>
      <c r="H78" s="7">
        <f t="shared" si="3"/>
        <v>0.60013844999999999</v>
      </c>
    </row>
    <row r="79" spans="1:8" ht="15" customHeight="1" x14ac:dyDescent="0.2">
      <c r="A79" s="4" t="s">
        <v>328</v>
      </c>
      <c r="B79" s="4" t="s">
        <v>7</v>
      </c>
      <c r="C79" s="4" t="s">
        <v>282</v>
      </c>
      <c r="D79" s="4">
        <v>20007</v>
      </c>
      <c r="E79" s="6">
        <v>45747</v>
      </c>
      <c r="F79" s="7">
        <v>63.230629999999998</v>
      </c>
      <c r="G79" s="7">
        <f t="shared" si="2"/>
        <v>63.230629999999998</v>
      </c>
      <c r="H79" s="7">
        <f t="shared" si="3"/>
        <v>0.94845944999999998</v>
      </c>
    </row>
    <row r="80" spans="1:8" ht="15" customHeight="1" x14ac:dyDescent="0.2">
      <c r="A80" s="4" t="s">
        <v>328</v>
      </c>
      <c r="B80" s="4" t="s">
        <v>7</v>
      </c>
      <c r="C80" s="4" t="s">
        <v>283</v>
      </c>
      <c r="D80" s="4">
        <v>20007</v>
      </c>
      <c r="E80" s="6">
        <v>45747</v>
      </c>
      <c r="F80" s="7">
        <v>272.87220000000002</v>
      </c>
      <c r="G80" s="7">
        <f t="shared" si="2"/>
        <v>272.87220000000002</v>
      </c>
      <c r="H80" s="7">
        <f t="shared" si="3"/>
        <v>4.093083</v>
      </c>
    </row>
    <row r="81" spans="1:8" ht="15" customHeight="1" x14ac:dyDescent="0.2">
      <c r="A81" s="4" t="s">
        <v>328</v>
      </c>
      <c r="B81" s="4" t="s">
        <v>7</v>
      </c>
      <c r="C81" s="4" t="s">
        <v>284</v>
      </c>
      <c r="D81" s="4">
        <v>20007</v>
      </c>
      <c r="E81" s="6">
        <v>45747</v>
      </c>
      <c r="F81" s="7">
        <v>3.3235299999999999</v>
      </c>
      <c r="G81" s="7">
        <f t="shared" si="2"/>
        <v>3.3235299999999999</v>
      </c>
      <c r="H81" s="7">
        <f t="shared" si="3"/>
        <v>4.9852949999999993E-2</v>
      </c>
    </row>
    <row r="82" spans="1:8" ht="15" customHeight="1" x14ac:dyDescent="0.2">
      <c r="A82" s="4" t="s">
        <v>328</v>
      </c>
      <c r="B82" s="4" t="s">
        <v>7</v>
      </c>
      <c r="C82" s="4" t="s">
        <v>285</v>
      </c>
      <c r="D82" s="4">
        <v>20007</v>
      </c>
      <c r="E82" s="6">
        <v>45747</v>
      </c>
      <c r="F82" s="7">
        <v>23.759930000000001</v>
      </c>
      <c r="G82" s="7">
        <f t="shared" si="2"/>
        <v>23.759930000000001</v>
      </c>
      <c r="H82" s="7">
        <f t="shared" si="3"/>
        <v>0.35639894999999999</v>
      </c>
    </row>
    <row r="83" spans="1:8" ht="15" customHeight="1" x14ac:dyDescent="0.2">
      <c r="A83" s="4" t="s">
        <v>328</v>
      </c>
      <c r="B83" s="4" t="s">
        <v>7</v>
      </c>
      <c r="C83" s="4" t="s">
        <v>286</v>
      </c>
      <c r="D83" s="4">
        <v>20007</v>
      </c>
      <c r="E83" s="6">
        <v>45747</v>
      </c>
      <c r="F83" s="7">
        <v>424.9957</v>
      </c>
      <c r="G83" s="7">
        <f t="shared" si="2"/>
        <v>424.9957</v>
      </c>
      <c r="H83" s="7">
        <f t="shared" si="3"/>
        <v>6.3749354999999994</v>
      </c>
    </row>
    <row r="84" spans="1:8" ht="15" customHeight="1" x14ac:dyDescent="0.2">
      <c r="A84" s="4" t="s">
        <v>328</v>
      </c>
      <c r="B84" s="4" t="s">
        <v>7</v>
      </c>
      <c r="C84" s="4" t="s">
        <v>287</v>
      </c>
      <c r="D84" s="4">
        <v>20007</v>
      </c>
      <c r="E84" s="6">
        <v>45747</v>
      </c>
      <c r="F84" s="7">
        <v>90.772829999999999</v>
      </c>
      <c r="G84" s="7">
        <f t="shared" si="2"/>
        <v>90.772829999999999</v>
      </c>
      <c r="H84" s="7">
        <f t="shared" si="3"/>
        <v>1.3615924499999998</v>
      </c>
    </row>
    <row r="85" spans="1:8" ht="15" customHeight="1" x14ac:dyDescent="0.2">
      <c r="A85" s="4" t="s">
        <v>328</v>
      </c>
      <c r="B85" s="4" t="s">
        <v>7</v>
      </c>
      <c r="C85" s="4" t="s">
        <v>288</v>
      </c>
      <c r="D85" s="4">
        <v>20007</v>
      </c>
      <c r="E85" s="6">
        <v>45747</v>
      </c>
      <c r="F85" s="7">
        <v>27.480419999999999</v>
      </c>
      <c r="G85" s="7">
        <f t="shared" si="2"/>
        <v>27.480419999999999</v>
      </c>
      <c r="H85" s="7">
        <f t="shared" si="3"/>
        <v>0.41220629999999997</v>
      </c>
    </row>
    <row r="86" spans="1:8" ht="15" customHeight="1" x14ac:dyDescent="0.2">
      <c r="A86" s="4" t="s">
        <v>328</v>
      </c>
      <c r="B86" s="4" t="s">
        <v>7</v>
      </c>
      <c r="C86" s="4" t="s">
        <v>290</v>
      </c>
      <c r="D86" s="4">
        <v>20007</v>
      </c>
      <c r="E86" s="6">
        <v>45747</v>
      </c>
      <c r="F86" s="7">
        <v>14.09351</v>
      </c>
      <c r="G86" s="7">
        <f t="shared" si="2"/>
        <v>14.09351</v>
      </c>
      <c r="H86" s="7">
        <f t="shared" si="3"/>
        <v>0.21140265</v>
      </c>
    </row>
    <row r="87" spans="1:8" ht="15" customHeight="1" x14ac:dyDescent="0.2">
      <c r="A87" s="4" t="s">
        <v>328</v>
      </c>
      <c r="B87" s="4" t="s">
        <v>7</v>
      </c>
      <c r="C87" s="4" t="s">
        <v>291</v>
      </c>
      <c r="D87" s="4">
        <v>20007</v>
      </c>
      <c r="E87" s="6">
        <v>45747</v>
      </c>
      <c r="F87" s="7">
        <v>357.38729999999998</v>
      </c>
      <c r="G87" s="7">
        <f t="shared" si="2"/>
        <v>357.38729999999998</v>
      </c>
      <c r="H87" s="7">
        <f t="shared" si="3"/>
        <v>5.3608094999999993</v>
      </c>
    </row>
    <row r="88" spans="1:8" ht="15" customHeight="1" x14ac:dyDescent="0.2">
      <c r="A88" s="4" t="s">
        <v>328</v>
      </c>
      <c r="B88" s="4" t="s">
        <v>7</v>
      </c>
      <c r="C88" s="4" t="s">
        <v>292</v>
      </c>
      <c r="D88" s="4">
        <v>20007</v>
      </c>
      <c r="E88" s="6">
        <v>45747</v>
      </c>
      <c r="F88" s="7">
        <v>78.043779999999998</v>
      </c>
      <c r="G88" s="7">
        <f t="shared" si="2"/>
        <v>78.043779999999998</v>
      </c>
      <c r="H88" s="7">
        <f t="shared" si="3"/>
        <v>1.1706566999999999</v>
      </c>
    </row>
    <row r="89" spans="1:8" ht="15" customHeight="1" x14ac:dyDescent="0.2">
      <c r="A89" s="4" t="s">
        <v>328</v>
      </c>
      <c r="B89" s="4" t="s">
        <v>7</v>
      </c>
      <c r="C89" s="4" t="s">
        <v>293</v>
      </c>
      <c r="D89" s="4">
        <v>20007</v>
      </c>
      <c r="E89" s="6">
        <v>45747</v>
      </c>
      <c r="F89" s="7">
        <v>30.056149999999999</v>
      </c>
      <c r="G89" s="7">
        <f t="shared" si="2"/>
        <v>30.056149999999999</v>
      </c>
      <c r="H89" s="7">
        <f t="shared" si="3"/>
        <v>0.45084224999999994</v>
      </c>
    </row>
    <row r="90" spans="1:8" ht="15" customHeight="1" x14ac:dyDescent="0.2">
      <c r="A90" s="4" t="s">
        <v>328</v>
      </c>
      <c r="B90" s="4" t="s">
        <v>7</v>
      </c>
      <c r="C90" s="4" t="s">
        <v>294</v>
      </c>
      <c r="D90" s="4">
        <v>20007</v>
      </c>
      <c r="E90" s="6">
        <v>45747</v>
      </c>
      <c r="F90" s="7">
        <v>1.8293699999999999</v>
      </c>
      <c r="G90" s="7">
        <f t="shared" si="2"/>
        <v>1.8293699999999999</v>
      </c>
      <c r="H90" s="7">
        <f t="shared" si="3"/>
        <v>2.7440549999999998E-2</v>
      </c>
    </row>
    <row r="91" spans="1:8" ht="15" customHeight="1" x14ac:dyDescent="0.2">
      <c r="A91" s="4" t="s">
        <v>328</v>
      </c>
      <c r="B91" s="4" t="s">
        <v>7</v>
      </c>
      <c r="C91" s="4" t="s">
        <v>295</v>
      </c>
      <c r="D91" s="4">
        <v>20007</v>
      </c>
      <c r="E91" s="6">
        <v>45747</v>
      </c>
      <c r="F91" s="7">
        <v>197.0677</v>
      </c>
      <c r="G91" s="7">
        <f t="shared" si="2"/>
        <v>197.0677</v>
      </c>
      <c r="H91" s="7">
        <f t="shared" si="3"/>
        <v>2.9560154999999999</v>
      </c>
    </row>
    <row r="92" spans="1:8" ht="15" customHeight="1" x14ac:dyDescent="0.2">
      <c r="A92" s="4" t="s">
        <v>328</v>
      </c>
      <c r="B92" s="4" t="s">
        <v>7</v>
      </c>
      <c r="C92" s="4" t="s">
        <v>296</v>
      </c>
      <c r="D92" s="4">
        <v>20007</v>
      </c>
      <c r="E92" s="6">
        <v>45747</v>
      </c>
      <c r="F92" s="7">
        <v>3.9535800000000001</v>
      </c>
      <c r="G92" s="7">
        <f t="shared" si="2"/>
        <v>3.9535800000000001</v>
      </c>
      <c r="H92" s="7">
        <f t="shared" si="3"/>
        <v>5.9303700000000001E-2</v>
      </c>
    </row>
    <row r="93" spans="1:8" ht="15" customHeight="1" x14ac:dyDescent="0.2">
      <c r="A93" s="4" t="s">
        <v>328</v>
      </c>
      <c r="B93" s="4" t="s">
        <v>7</v>
      </c>
      <c r="C93" s="4" t="s">
        <v>297</v>
      </c>
      <c r="D93" s="4">
        <v>20007</v>
      </c>
      <c r="E93" s="6">
        <v>45747</v>
      </c>
      <c r="F93" s="7">
        <v>23.700579999999999</v>
      </c>
      <c r="G93" s="7">
        <f t="shared" si="2"/>
        <v>23.700579999999999</v>
      </c>
      <c r="H93" s="7">
        <f t="shared" si="3"/>
        <v>0.35550869999999996</v>
      </c>
    </row>
    <row r="94" spans="1:8" ht="15" customHeight="1" x14ac:dyDescent="0.2">
      <c r="A94" s="4" t="s">
        <v>328</v>
      </c>
      <c r="B94" s="4" t="s">
        <v>7</v>
      </c>
      <c r="C94" s="4" t="s">
        <v>331</v>
      </c>
      <c r="D94" s="4">
        <v>20007</v>
      </c>
      <c r="E94" s="6">
        <v>45747</v>
      </c>
      <c r="F94" s="7">
        <v>4.3844200000000004</v>
      </c>
      <c r="G94" s="7">
        <f t="shared" si="2"/>
        <v>4.3844200000000004</v>
      </c>
      <c r="H94" s="7">
        <f t="shared" si="3"/>
        <v>6.57663E-2</v>
      </c>
    </row>
    <row r="95" spans="1:8" ht="15" customHeight="1" x14ac:dyDescent="0.2">
      <c r="A95" s="4" t="s">
        <v>328</v>
      </c>
      <c r="B95" s="4" t="s">
        <v>7</v>
      </c>
      <c r="C95" s="4" t="s">
        <v>299</v>
      </c>
      <c r="D95" s="4">
        <v>20007</v>
      </c>
      <c r="E95" s="6">
        <v>45747</v>
      </c>
      <c r="F95" s="7">
        <v>77.073369999999997</v>
      </c>
      <c r="G95" s="7">
        <f t="shared" si="2"/>
        <v>77.073369999999997</v>
      </c>
      <c r="H95" s="7">
        <f t="shared" si="3"/>
        <v>1.1561005499999999</v>
      </c>
    </row>
    <row r="96" spans="1:8" ht="15" customHeight="1" x14ac:dyDescent="0.2">
      <c r="A96" s="4" t="s">
        <v>328</v>
      </c>
      <c r="B96" s="4" t="s">
        <v>7</v>
      </c>
      <c r="C96" s="4" t="s">
        <v>300</v>
      </c>
      <c r="D96" s="4">
        <v>20007</v>
      </c>
      <c r="E96" s="6">
        <v>45747</v>
      </c>
      <c r="F96" s="7">
        <v>0.80610800000000005</v>
      </c>
      <c r="G96" s="7">
        <f t="shared" si="2"/>
        <v>0.80610800000000005</v>
      </c>
      <c r="H96" s="7">
        <f t="shared" si="3"/>
        <v>1.2091620000000001E-2</v>
      </c>
    </row>
    <row r="97" spans="1:8" ht="15" customHeight="1" x14ac:dyDescent="0.2">
      <c r="A97" s="4" t="s">
        <v>328</v>
      </c>
      <c r="B97" s="4" t="s">
        <v>7</v>
      </c>
      <c r="C97" s="4" t="s">
        <v>301</v>
      </c>
      <c r="D97" s="4">
        <v>20007</v>
      </c>
      <c r="E97" s="6">
        <v>45747</v>
      </c>
      <c r="F97" s="7">
        <v>9.0675000000000008</v>
      </c>
      <c r="G97" s="7">
        <f t="shared" si="2"/>
        <v>9.0675000000000008</v>
      </c>
      <c r="H97" s="7">
        <f t="shared" si="3"/>
        <v>0.13601250000000001</v>
      </c>
    </row>
    <row r="98" spans="1:8" ht="15" customHeight="1" x14ac:dyDescent="0.2">
      <c r="A98" s="4" t="s">
        <v>328</v>
      </c>
      <c r="B98" s="4" t="s">
        <v>7</v>
      </c>
      <c r="C98" s="4" t="s">
        <v>303</v>
      </c>
      <c r="D98" s="4">
        <v>20007</v>
      </c>
      <c r="E98" s="6">
        <v>45747</v>
      </c>
      <c r="F98" s="7">
        <v>71.751850000000005</v>
      </c>
      <c r="G98" s="7">
        <f t="shared" si="2"/>
        <v>71.751850000000005</v>
      </c>
      <c r="H98" s="7">
        <f t="shared" si="3"/>
        <v>1.07627775</v>
      </c>
    </row>
    <row r="99" spans="1:8" ht="15" customHeight="1" x14ac:dyDescent="0.2">
      <c r="A99" s="4" t="s">
        <v>328</v>
      </c>
      <c r="B99" s="4" t="s">
        <v>7</v>
      </c>
      <c r="C99" s="4" t="s">
        <v>304</v>
      </c>
      <c r="D99" s="4">
        <v>20007</v>
      </c>
      <c r="E99" s="6">
        <v>45747</v>
      </c>
      <c r="F99" s="7">
        <v>6.4174800000000003</v>
      </c>
      <c r="G99" s="7">
        <f t="shared" si="2"/>
        <v>6.4174800000000003</v>
      </c>
      <c r="H99" s="7">
        <f t="shared" si="3"/>
        <v>9.6262200000000006E-2</v>
      </c>
    </row>
    <row r="100" spans="1:8" ht="15" customHeight="1" x14ac:dyDescent="0.2">
      <c r="A100" s="4" t="s">
        <v>328</v>
      </c>
      <c r="B100" s="4" t="s">
        <v>7</v>
      </c>
      <c r="C100" s="4" t="s">
        <v>305</v>
      </c>
      <c r="D100" s="4">
        <v>20007</v>
      </c>
      <c r="E100" s="6">
        <v>45747</v>
      </c>
      <c r="F100" s="7">
        <v>29.857620000000001</v>
      </c>
      <c r="G100" s="7">
        <f t="shared" si="2"/>
        <v>29.857620000000001</v>
      </c>
      <c r="H100" s="7">
        <f t="shared" si="3"/>
        <v>0.44786429999999999</v>
      </c>
    </row>
    <row r="101" spans="1:8" ht="15" customHeight="1" x14ac:dyDescent="0.2">
      <c r="A101" s="4" t="s">
        <v>328</v>
      </c>
      <c r="B101" s="4" t="s">
        <v>7</v>
      </c>
      <c r="C101" s="4" t="s">
        <v>306</v>
      </c>
      <c r="D101" s="4">
        <v>20007</v>
      </c>
      <c r="E101" s="6">
        <v>45747</v>
      </c>
      <c r="F101" s="7">
        <v>1.1630799999999999</v>
      </c>
      <c r="G101" s="7">
        <f t="shared" si="2"/>
        <v>1.1630799999999999</v>
      </c>
      <c r="H101" s="7">
        <f t="shared" si="3"/>
        <v>1.7446199999999999E-2</v>
      </c>
    </row>
    <row r="102" spans="1:8" ht="15" customHeight="1" x14ac:dyDescent="0.2">
      <c r="A102" s="4" t="s">
        <v>328</v>
      </c>
      <c r="B102" s="4" t="s">
        <v>7</v>
      </c>
      <c r="C102" s="4" t="s">
        <v>338</v>
      </c>
      <c r="D102" s="4">
        <v>20007</v>
      </c>
      <c r="E102" s="6">
        <v>45747</v>
      </c>
      <c r="F102" s="7">
        <v>8.89</v>
      </c>
      <c r="G102" s="7">
        <f t="shared" si="2"/>
        <v>8.89</v>
      </c>
      <c r="H102" s="7">
        <f t="shared" si="3"/>
        <v>0.13335</v>
      </c>
    </row>
    <row r="103" spans="1:8" ht="15" customHeight="1" x14ac:dyDescent="0.2">
      <c r="A103" s="4" t="s">
        <v>328</v>
      </c>
      <c r="B103" s="4" t="s">
        <v>7</v>
      </c>
      <c r="C103" s="4" t="s">
        <v>307</v>
      </c>
      <c r="D103" s="4">
        <v>20007</v>
      </c>
      <c r="E103" s="6">
        <v>45747</v>
      </c>
      <c r="F103" s="7">
        <v>23.20299</v>
      </c>
      <c r="G103" s="7">
        <f t="shared" si="2"/>
        <v>23.20299</v>
      </c>
      <c r="H103" s="7">
        <f t="shared" si="3"/>
        <v>0.34804484999999996</v>
      </c>
    </row>
    <row r="104" spans="1:8" ht="15" customHeight="1" x14ac:dyDescent="0.2">
      <c r="A104" s="4" t="s">
        <v>328</v>
      </c>
      <c r="B104" s="4" t="s">
        <v>7</v>
      </c>
      <c r="C104" s="4" t="s">
        <v>308</v>
      </c>
      <c r="D104" s="4">
        <v>20007</v>
      </c>
      <c r="E104" s="6">
        <v>45747</v>
      </c>
      <c r="F104" s="7">
        <v>12.074490000000001</v>
      </c>
      <c r="G104" s="7">
        <f t="shared" si="2"/>
        <v>12.074490000000001</v>
      </c>
      <c r="H104" s="7">
        <f t="shared" si="3"/>
        <v>0.18111735000000001</v>
      </c>
    </row>
    <row r="105" spans="1:8" ht="15" customHeight="1" x14ac:dyDescent="0.2">
      <c r="A105" s="4" t="s">
        <v>328</v>
      </c>
      <c r="B105" s="4" t="s">
        <v>7</v>
      </c>
      <c r="C105" s="4" t="s">
        <v>309</v>
      </c>
      <c r="D105" s="4">
        <v>20007</v>
      </c>
      <c r="E105" s="6">
        <v>45747</v>
      </c>
      <c r="F105" s="7">
        <v>3.1539999999999999</v>
      </c>
      <c r="G105" s="7">
        <f t="shared" si="2"/>
        <v>3.1539999999999999</v>
      </c>
      <c r="H105" s="7">
        <f t="shared" si="3"/>
        <v>4.7309999999999998E-2</v>
      </c>
    </row>
    <row r="106" spans="1:8" ht="15" customHeight="1" x14ac:dyDescent="0.2">
      <c r="A106" s="4" t="s">
        <v>328</v>
      </c>
      <c r="B106" s="4" t="s">
        <v>7</v>
      </c>
      <c r="C106" s="4" t="s">
        <v>310</v>
      </c>
      <c r="D106" s="4">
        <v>20007</v>
      </c>
      <c r="E106" s="6">
        <v>45747</v>
      </c>
      <c r="F106" s="7">
        <v>105.126</v>
      </c>
      <c r="G106" s="7">
        <f t="shared" si="2"/>
        <v>105.126</v>
      </c>
      <c r="H106" s="7">
        <f t="shared" si="3"/>
        <v>1.5768899999999999</v>
      </c>
    </row>
    <row r="107" spans="1:8" ht="15" customHeight="1" x14ac:dyDescent="0.2">
      <c r="A107" s="4" t="s">
        <v>328</v>
      </c>
      <c r="B107" s="4" t="s">
        <v>7</v>
      </c>
      <c r="C107" s="4" t="s">
        <v>311</v>
      </c>
      <c r="D107" s="4">
        <v>20007</v>
      </c>
      <c r="E107" s="6">
        <v>45747</v>
      </c>
      <c r="F107" s="7">
        <v>1350.6420000000001</v>
      </c>
      <c r="G107" s="7">
        <f t="shared" si="2"/>
        <v>1350.6420000000001</v>
      </c>
      <c r="H107" s="7">
        <f t="shared" si="3"/>
        <v>20.259630000000001</v>
      </c>
    </row>
    <row r="108" spans="1:8" ht="15" customHeight="1" x14ac:dyDescent="0.2">
      <c r="A108" s="4" t="s">
        <v>328</v>
      </c>
      <c r="B108" s="4" t="s">
        <v>7</v>
      </c>
      <c r="C108" s="4" t="s">
        <v>312</v>
      </c>
      <c r="D108" s="4">
        <v>20007</v>
      </c>
      <c r="E108" s="6">
        <v>45747</v>
      </c>
      <c r="F108" s="7">
        <v>17.368880000000001</v>
      </c>
      <c r="G108" s="7">
        <f t="shared" si="2"/>
        <v>17.368880000000001</v>
      </c>
      <c r="H108" s="7">
        <f t="shared" si="3"/>
        <v>0.26053320000000002</v>
      </c>
    </row>
    <row r="109" spans="1:8" ht="15" customHeight="1" x14ac:dyDescent="0.2">
      <c r="A109" s="4" t="s">
        <v>328</v>
      </c>
      <c r="B109" s="4" t="s">
        <v>7</v>
      </c>
      <c r="C109" s="4" t="s">
        <v>313</v>
      </c>
      <c r="D109" s="4">
        <v>20007</v>
      </c>
      <c r="E109" s="6">
        <v>45747</v>
      </c>
      <c r="F109" s="7">
        <v>11.45309</v>
      </c>
      <c r="G109" s="7">
        <f t="shared" si="2"/>
        <v>11.45309</v>
      </c>
      <c r="H109" s="7">
        <f t="shared" si="3"/>
        <v>0.17179634999999999</v>
      </c>
    </row>
    <row r="110" spans="1:8" ht="15" customHeight="1" x14ac:dyDescent="0.2">
      <c r="A110" s="4" t="s">
        <v>328</v>
      </c>
      <c r="B110" s="4" t="s">
        <v>7</v>
      </c>
      <c r="C110" s="4" t="s">
        <v>315</v>
      </c>
      <c r="D110" s="4">
        <v>20007</v>
      </c>
      <c r="E110" s="6">
        <v>45747</v>
      </c>
      <c r="F110" s="7">
        <v>78.379180000000005</v>
      </c>
      <c r="G110" s="7">
        <f t="shared" si="2"/>
        <v>78.379180000000005</v>
      </c>
      <c r="H110" s="7">
        <f t="shared" si="3"/>
        <v>1.1756877000000001</v>
      </c>
    </row>
    <row r="111" spans="1:8" ht="15" customHeight="1" x14ac:dyDescent="0.2">
      <c r="A111" s="4" t="s">
        <v>328</v>
      </c>
      <c r="B111" s="4" t="s">
        <v>7</v>
      </c>
      <c r="C111" s="4" t="s">
        <v>259</v>
      </c>
      <c r="D111" s="4">
        <v>20007</v>
      </c>
      <c r="E111" s="6">
        <v>45747</v>
      </c>
      <c r="F111" s="7">
        <v>135.32</v>
      </c>
      <c r="G111" s="7">
        <f t="shared" si="2"/>
        <v>135.32</v>
      </c>
      <c r="H111" s="7">
        <f t="shared" si="3"/>
        <v>2.0297999999999998</v>
      </c>
    </row>
    <row r="112" spans="1:8" ht="15" customHeight="1" x14ac:dyDescent="0.2">
      <c r="A112" s="4" t="s">
        <v>328</v>
      </c>
      <c r="B112" s="4" t="s">
        <v>7</v>
      </c>
      <c r="C112" s="4" t="s">
        <v>339</v>
      </c>
      <c r="D112" s="4">
        <v>20007</v>
      </c>
      <c r="E112" s="6">
        <v>45747</v>
      </c>
      <c r="F112" s="7">
        <v>68.694649999999996</v>
      </c>
      <c r="G112" s="7">
        <f t="shared" si="2"/>
        <v>68.694649999999996</v>
      </c>
      <c r="H112" s="7">
        <f t="shared" si="3"/>
        <v>1.0304197499999999</v>
      </c>
    </row>
    <row r="113" spans="1:8" ht="15" customHeight="1" x14ac:dyDescent="0.2">
      <c r="A113" s="4" t="s">
        <v>328</v>
      </c>
      <c r="B113" s="4" t="s">
        <v>7</v>
      </c>
      <c r="C113" s="4" t="s">
        <v>260</v>
      </c>
      <c r="D113" s="4">
        <v>20007</v>
      </c>
      <c r="E113" s="6">
        <v>45747</v>
      </c>
      <c r="F113" s="7">
        <v>74.894999999999996</v>
      </c>
      <c r="G113" s="7">
        <f t="shared" si="2"/>
        <v>74.894999999999996</v>
      </c>
      <c r="H113" s="7">
        <f t="shared" si="3"/>
        <v>1.1234249999999999</v>
      </c>
    </row>
    <row r="114" spans="1:8" ht="15" customHeight="1" x14ac:dyDescent="0.2">
      <c r="A114" s="4" t="s">
        <v>328</v>
      </c>
      <c r="B114" s="4" t="s">
        <v>7</v>
      </c>
      <c r="C114" s="4" t="s">
        <v>261</v>
      </c>
      <c r="D114" s="4">
        <v>20007</v>
      </c>
      <c r="E114" s="6">
        <v>45747</v>
      </c>
      <c r="F114" s="7">
        <v>8.11815</v>
      </c>
      <c r="G114" s="7">
        <f t="shared" si="2"/>
        <v>8.11815</v>
      </c>
      <c r="H114" s="7">
        <f t="shared" si="3"/>
        <v>0.12177225</v>
      </c>
    </row>
    <row r="115" spans="1:8" ht="15" customHeight="1" x14ac:dyDescent="0.2">
      <c r="A115" s="4" t="s">
        <v>328</v>
      </c>
      <c r="B115" s="4" t="s">
        <v>7</v>
      </c>
      <c r="C115" s="4" t="s">
        <v>262</v>
      </c>
      <c r="D115" s="4">
        <v>20007</v>
      </c>
      <c r="E115" s="6">
        <v>45747</v>
      </c>
      <c r="F115" s="7">
        <v>1513.271</v>
      </c>
      <c r="G115" s="7">
        <f t="shared" si="2"/>
        <v>1513.271</v>
      </c>
      <c r="H115" s="7">
        <f t="shared" si="3"/>
        <v>22.699064999999997</v>
      </c>
    </row>
    <row r="116" spans="1:8" ht="15" customHeight="1" x14ac:dyDescent="0.2">
      <c r="A116" s="4" t="s">
        <v>328</v>
      </c>
      <c r="B116" s="4" t="s">
        <v>7</v>
      </c>
      <c r="C116" s="4" t="s">
        <v>11</v>
      </c>
      <c r="D116" s="4">
        <v>20007</v>
      </c>
      <c r="E116" s="6">
        <v>45747</v>
      </c>
      <c r="F116" s="7">
        <v>50.255899999999997</v>
      </c>
      <c r="G116" s="7">
        <f t="shared" si="2"/>
        <v>50.255899999999997</v>
      </c>
      <c r="H116" s="7">
        <f t="shared" si="3"/>
        <v>0.75383849999999997</v>
      </c>
    </row>
    <row r="117" spans="1:8" ht="15" customHeight="1" x14ac:dyDescent="0.2">
      <c r="A117" s="4" t="s">
        <v>328</v>
      </c>
      <c r="B117" s="4" t="s">
        <v>7</v>
      </c>
      <c r="C117" s="4" t="s">
        <v>12</v>
      </c>
      <c r="D117" s="4">
        <v>20007</v>
      </c>
      <c r="E117" s="6">
        <v>45747</v>
      </c>
      <c r="F117" s="7">
        <v>10.570510000000001</v>
      </c>
      <c r="G117" s="7">
        <f t="shared" si="2"/>
        <v>10.570510000000001</v>
      </c>
      <c r="H117" s="7">
        <f t="shared" si="3"/>
        <v>0.15855764999999999</v>
      </c>
    </row>
    <row r="118" spans="1:8" ht="15" customHeight="1" x14ac:dyDescent="0.2">
      <c r="A118" s="4" t="s">
        <v>328</v>
      </c>
      <c r="B118" s="4" t="s">
        <v>7</v>
      </c>
      <c r="C118" s="4" t="s">
        <v>13</v>
      </c>
      <c r="D118" s="4">
        <v>20007</v>
      </c>
      <c r="E118" s="6">
        <v>45747</v>
      </c>
      <c r="F118" s="7">
        <v>90.506550000000004</v>
      </c>
      <c r="G118" s="7">
        <f t="shared" si="2"/>
        <v>90.506550000000004</v>
      </c>
      <c r="H118" s="7">
        <f t="shared" si="3"/>
        <v>1.3575982500000001</v>
      </c>
    </row>
    <row r="119" spans="1:8" ht="15" customHeight="1" x14ac:dyDescent="0.2">
      <c r="A119" s="4" t="s">
        <v>328</v>
      </c>
      <c r="B119" s="4" t="s">
        <v>7</v>
      </c>
      <c r="C119" s="4" t="s">
        <v>14</v>
      </c>
      <c r="D119" s="4">
        <v>20007</v>
      </c>
      <c r="E119" s="6">
        <v>45747</v>
      </c>
      <c r="F119" s="7">
        <v>213.55420000000001</v>
      </c>
      <c r="G119" s="7">
        <f t="shared" si="2"/>
        <v>213.55420000000001</v>
      </c>
      <c r="H119" s="7">
        <f t="shared" si="3"/>
        <v>3.2033130000000001</v>
      </c>
    </row>
    <row r="120" spans="1:8" ht="15" customHeight="1" x14ac:dyDescent="0.2">
      <c r="A120" s="4" t="s">
        <v>328</v>
      </c>
      <c r="B120" s="4" t="s">
        <v>7</v>
      </c>
      <c r="C120" s="4" t="s">
        <v>15</v>
      </c>
      <c r="D120" s="4">
        <v>20007</v>
      </c>
      <c r="E120" s="6">
        <v>45747</v>
      </c>
      <c r="F120" s="7">
        <v>80.626239999999996</v>
      </c>
      <c r="G120" s="7">
        <f t="shared" si="2"/>
        <v>80.626239999999996</v>
      </c>
      <c r="H120" s="7">
        <f t="shared" si="3"/>
        <v>1.2093935999999998</v>
      </c>
    </row>
    <row r="121" spans="1:8" ht="15" customHeight="1" x14ac:dyDescent="0.2">
      <c r="A121" s="4" t="s">
        <v>328</v>
      </c>
      <c r="B121" s="4" t="s">
        <v>7</v>
      </c>
      <c r="C121" s="4" t="s">
        <v>16</v>
      </c>
      <c r="D121" s="4">
        <v>20007</v>
      </c>
      <c r="E121" s="6">
        <v>45747</v>
      </c>
      <c r="F121" s="7">
        <v>100.3826</v>
      </c>
      <c r="G121" s="7">
        <f t="shared" si="2"/>
        <v>100.3826</v>
      </c>
      <c r="H121" s="7">
        <f t="shared" si="3"/>
        <v>1.5057389999999999</v>
      </c>
    </row>
    <row r="122" spans="1:8" ht="15" customHeight="1" x14ac:dyDescent="0.2">
      <c r="A122" s="4" t="s">
        <v>328</v>
      </c>
      <c r="B122" s="4" t="s">
        <v>7</v>
      </c>
      <c r="C122" s="4" t="s">
        <v>17</v>
      </c>
      <c r="D122" s="4">
        <v>20007</v>
      </c>
      <c r="E122" s="6">
        <v>45747</v>
      </c>
      <c r="F122" s="7">
        <v>80.490499999999997</v>
      </c>
      <c r="G122" s="7">
        <f t="shared" si="2"/>
        <v>80.490499999999997</v>
      </c>
      <c r="H122" s="7">
        <f t="shared" si="3"/>
        <v>1.2073574999999999</v>
      </c>
    </row>
    <row r="123" spans="1:8" ht="15" customHeight="1" x14ac:dyDescent="0.2">
      <c r="A123" s="4" t="s">
        <v>328</v>
      </c>
      <c r="B123" s="4" t="s">
        <v>7</v>
      </c>
      <c r="C123" s="4" t="s">
        <v>18</v>
      </c>
      <c r="D123" s="4">
        <v>20007</v>
      </c>
      <c r="E123" s="6">
        <v>45747</v>
      </c>
      <c r="F123" s="7">
        <v>37.13259</v>
      </c>
      <c r="G123" s="7">
        <f t="shared" si="2"/>
        <v>37.13259</v>
      </c>
      <c r="H123" s="7">
        <f t="shared" si="3"/>
        <v>0.55698884999999998</v>
      </c>
    </row>
    <row r="124" spans="1:8" ht="15" customHeight="1" x14ac:dyDescent="0.2">
      <c r="A124" s="4" t="s">
        <v>328</v>
      </c>
      <c r="B124" s="4" t="s">
        <v>7</v>
      </c>
      <c r="C124" s="4" t="s">
        <v>19</v>
      </c>
      <c r="D124" s="4">
        <v>20007</v>
      </c>
      <c r="E124" s="6">
        <v>45747</v>
      </c>
      <c r="F124" s="7">
        <v>70.696250000000006</v>
      </c>
      <c r="G124" s="7">
        <f t="shared" si="2"/>
        <v>70.696250000000006</v>
      </c>
      <c r="H124" s="7">
        <f t="shared" si="3"/>
        <v>1.0604437500000001</v>
      </c>
    </row>
    <row r="125" spans="1:8" ht="15" customHeight="1" x14ac:dyDescent="0.2">
      <c r="A125" s="4" t="s">
        <v>328</v>
      </c>
      <c r="B125" s="4" t="s">
        <v>7</v>
      </c>
      <c r="C125" s="4" t="s">
        <v>20</v>
      </c>
      <c r="D125" s="4">
        <v>20007</v>
      </c>
      <c r="E125" s="6">
        <v>45747</v>
      </c>
      <c r="F125" s="7">
        <v>19.231310000000001</v>
      </c>
      <c r="G125" s="7">
        <f t="shared" si="2"/>
        <v>19.231310000000001</v>
      </c>
      <c r="H125" s="7">
        <f t="shared" si="3"/>
        <v>0.28846965000000002</v>
      </c>
    </row>
    <row r="126" spans="1:8" ht="15" customHeight="1" x14ac:dyDescent="0.2">
      <c r="A126" s="4" t="s">
        <v>328</v>
      </c>
      <c r="B126" s="4" t="s">
        <v>7</v>
      </c>
      <c r="C126" s="4" t="s">
        <v>21</v>
      </c>
      <c r="D126" s="4">
        <v>20007</v>
      </c>
      <c r="E126" s="6">
        <v>45747</v>
      </c>
      <c r="F126" s="7">
        <v>42.414400000000001</v>
      </c>
      <c r="G126" s="7">
        <f t="shared" ref="G126:G188" si="4">F126</f>
        <v>42.414400000000001</v>
      </c>
      <c r="H126" s="7">
        <f t="shared" ref="H126:H188" si="5">G126*0.015</f>
        <v>0.636216</v>
      </c>
    </row>
    <row r="127" spans="1:8" ht="15" customHeight="1" x14ac:dyDescent="0.2">
      <c r="A127" s="4" t="s">
        <v>328</v>
      </c>
      <c r="B127" s="4" t="s">
        <v>7</v>
      </c>
      <c r="C127" s="4" t="s">
        <v>22</v>
      </c>
      <c r="D127" s="4">
        <v>20007</v>
      </c>
      <c r="E127" s="6">
        <v>45747</v>
      </c>
      <c r="F127" s="7">
        <v>26.164719999999999</v>
      </c>
      <c r="G127" s="7">
        <f t="shared" si="4"/>
        <v>26.164719999999999</v>
      </c>
      <c r="H127" s="7">
        <f t="shared" si="5"/>
        <v>0.39247079999999995</v>
      </c>
    </row>
    <row r="128" spans="1:8" ht="15" customHeight="1" x14ac:dyDescent="0.2">
      <c r="A128" s="4" t="s">
        <v>328</v>
      </c>
      <c r="B128" s="4" t="s">
        <v>7</v>
      </c>
      <c r="C128" s="4" t="s">
        <v>23</v>
      </c>
      <c r="D128" s="4">
        <v>20007</v>
      </c>
      <c r="E128" s="6">
        <v>45747</v>
      </c>
      <c r="F128" s="7">
        <v>33.733130000000003</v>
      </c>
      <c r="G128" s="7">
        <f t="shared" si="4"/>
        <v>33.733130000000003</v>
      </c>
      <c r="H128" s="7">
        <f t="shared" si="5"/>
        <v>0.50599695</v>
      </c>
    </row>
    <row r="129" spans="1:8" ht="15" customHeight="1" x14ac:dyDescent="0.2">
      <c r="A129" s="4" t="s">
        <v>328</v>
      </c>
      <c r="B129" s="4" t="s">
        <v>7</v>
      </c>
      <c r="C129" s="4" t="s">
        <v>24</v>
      </c>
      <c r="D129" s="4">
        <v>20007</v>
      </c>
      <c r="E129" s="6">
        <v>45747</v>
      </c>
      <c r="F129" s="7">
        <v>103.2539</v>
      </c>
      <c r="G129" s="7">
        <f t="shared" si="4"/>
        <v>103.2539</v>
      </c>
      <c r="H129" s="7">
        <f t="shared" si="5"/>
        <v>1.5488085</v>
      </c>
    </row>
    <row r="130" spans="1:8" ht="15" customHeight="1" x14ac:dyDescent="0.2">
      <c r="A130" s="4" t="s">
        <v>328</v>
      </c>
      <c r="B130" s="4" t="s">
        <v>7</v>
      </c>
      <c r="C130" s="4" t="s">
        <v>25</v>
      </c>
      <c r="D130" s="4">
        <v>20007</v>
      </c>
      <c r="E130" s="6">
        <v>45747</v>
      </c>
      <c r="F130" s="7">
        <v>18.417999999999999</v>
      </c>
      <c r="G130" s="7">
        <f t="shared" si="4"/>
        <v>18.417999999999999</v>
      </c>
      <c r="H130" s="7">
        <f t="shared" si="5"/>
        <v>0.27626999999999996</v>
      </c>
    </row>
    <row r="131" spans="1:8" ht="15" customHeight="1" x14ac:dyDescent="0.2">
      <c r="A131" s="4" t="s">
        <v>328</v>
      </c>
      <c r="B131" s="4" t="s">
        <v>7</v>
      </c>
      <c r="C131" s="4" t="s">
        <v>26</v>
      </c>
      <c r="D131" s="4">
        <v>20007</v>
      </c>
      <c r="E131" s="6">
        <v>45747</v>
      </c>
      <c r="F131" s="7">
        <v>76.283500000000004</v>
      </c>
      <c r="G131" s="7">
        <f t="shared" si="4"/>
        <v>76.283500000000004</v>
      </c>
      <c r="H131" s="7">
        <f t="shared" si="5"/>
        <v>1.1442525000000001</v>
      </c>
    </row>
    <row r="132" spans="1:8" ht="15" customHeight="1" x14ac:dyDescent="0.2">
      <c r="A132" s="4" t="s">
        <v>328</v>
      </c>
      <c r="B132" s="4" t="s">
        <v>7</v>
      </c>
      <c r="C132" s="4" t="s">
        <v>27</v>
      </c>
      <c r="D132" s="4">
        <v>20007</v>
      </c>
      <c r="E132" s="6">
        <v>45747</v>
      </c>
      <c r="F132" s="7">
        <v>25.845600000000001</v>
      </c>
      <c r="G132" s="7">
        <f t="shared" si="4"/>
        <v>25.845600000000001</v>
      </c>
      <c r="H132" s="7">
        <f t="shared" si="5"/>
        <v>0.38768400000000003</v>
      </c>
    </row>
    <row r="133" spans="1:8" ht="15" customHeight="1" x14ac:dyDescent="0.2">
      <c r="A133" s="4" t="s">
        <v>328</v>
      </c>
      <c r="B133" s="4" t="s">
        <v>7</v>
      </c>
      <c r="C133" s="4" t="s">
        <v>28</v>
      </c>
      <c r="D133" s="4">
        <v>20007</v>
      </c>
      <c r="E133" s="6">
        <v>45747</v>
      </c>
      <c r="F133" s="7">
        <v>8.3963339999999995</v>
      </c>
      <c r="G133" s="7">
        <f t="shared" si="4"/>
        <v>8.3963339999999995</v>
      </c>
      <c r="H133" s="7">
        <f t="shared" si="5"/>
        <v>0.12594501</v>
      </c>
    </row>
    <row r="134" spans="1:8" ht="15" customHeight="1" x14ac:dyDescent="0.2">
      <c r="A134" s="4" t="s">
        <v>328</v>
      </c>
      <c r="B134" s="4" t="s">
        <v>7</v>
      </c>
      <c r="C134" s="4" t="s">
        <v>29</v>
      </c>
      <c r="D134" s="4">
        <v>20007</v>
      </c>
      <c r="E134" s="6">
        <v>45747</v>
      </c>
      <c r="F134" s="7">
        <v>39.286459999999998</v>
      </c>
      <c r="G134" s="7">
        <f t="shared" si="4"/>
        <v>39.286459999999998</v>
      </c>
      <c r="H134" s="7">
        <f t="shared" si="5"/>
        <v>0.5892968999999999</v>
      </c>
    </row>
    <row r="135" spans="1:8" ht="15" customHeight="1" x14ac:dyDescent="0.2">
      <c r="A135" s="4" t="s">
        <v>328</v>
      </c>
      <c r="B135" s="4" t="s">
        <v>7</v>
      </c>
      <c r="C135" s="4" t="s">
        <v>340</v>
      </c>
      <c r="D135" s="4">
        <v>20007</v>
      </c>
      <c r="E135" s="6">
        <v>45747</v>
      </c>
      <c r="F135" s="7">
        <v>23.218209999999999</v>
      </c>
      <c r="G135" s="7">
        <f t="shared" si="4"/>
        <v>23.218209999999999</v>
      </c>
      <c r="H135" s="7">
        <f t="shared" si="5"/>
        <v>0.34827314999999998</v>
      </c>
    </row>
    <row r="136" spans="1:8" ht="15" customHeight="1" x14ac:dyDescent="0.2">
      <c r="A136" s="4" t="s">
        <v>328</v>
      </c>
      <c r="B136" s="4" t="s">
        <v>7</v>
      </c>
      <c r="C136" s="4" t="s">
        <v>30</v>
      </c>
      <c r="D136" s="4">
        <v>20007</v>
      </c>
      <c r="E136" s="6">
        <v>45747</v>
      </c>
      <c r="F136" s="7">
        <v>64.846530000000001</v>
      </c>
      <c r="G136" s="7">
        <f t="shared" si="4"/>
        <v>64.846530000000001</v>
      </c>
      <c r="H136" s="7">
        <f t="shared" si="5"/>
        <v>0.97269795000000003</v>
      </c>
    </row>
    <row r="137" spans="1:8" ht="15" customHeight="1" x14ac:dyDescent="0.2">
      <c r="A137" s="4" t="s">
        <v>328</v>
      </c>
      <c r="B137" s="4" t="s">
        <v>7</v>
      </c>
      <c r="C137" s="4" t="s">
        <v>31</v>
      </c>
      <c r="D137" s="4">
        <v>20007</v>
      </c>
      <c r="E137" s="6">
        <v>45747</v>
      </c>
      <c r="F137" s="7">
        <v>224.85589999999999</v>
      </c>
      <c r="G137" s="7">
        <f t="shared" si="4"/>
        <v>224.85589999999999</v>
      </c>
      <c r="H137" s="7">
        <f t="shared" si="5"/>
        <v>3.3728384999999999</v>
      </c>
    </row>
    <row r="138" spans="1:8" ht="15" customHeight="1" x14ac:dyDescent="0.2">
      <c r="A138" s="4" t="s">
        <v>328</v>
      </c>
      <c r="B138" s="4" t="s">
        <v>7</v>
      </c>
      <c r="C138" s="4" t="s">
        <v>32</v>
      </c>
      <c r="D138" s="4">
        <v>20007</v>
      </c>
      <c r="E138" s="6">
        <v>45747</v>
      </c>
      <c r="F138" s="7">
        <v>134.32050000000001</v>
      </c>
      <c r="G138" s="7">
        <f t="shared" si="4"/>
        <v>134.32050000000001</v>
      </c>
      <c r="H138" s="7">
        <f t="shared" si="5"/>
        <v>2.0148074999999999</v>
      </c>
    </row>
    <row r="139" spans="1:8" ht="15" customHeight="1" x14ac:dyDescent="0.2">
      <c r="A139" s="4" t="s">
        <v>328</v>
      </c>
      <c r="B139" s="4" t="s">
        <v>7</v>
      </c>
      <c r="C139" s="4" t="s">
        <v>33</v>
      </c>
      <c r="D139" s="4">
        <v>20007</v>
      </c>
      <c r="E139" s="6">
        <v>45747</v>
      </c>
      <c r="F139" s="7">
        <v>41.536090000000002</v>
      </c>
      <c r="G139" s="7">
        <f t="shared" si="4"/>
        <v>41.536090000000002</v>
      </c>
      <c r="H139" s="7">
        <f t="shared" si="5"/>
        <v>0.62304135000000005</v>
      </c>
    </row>
    <row r="140" spans="1:8" ht="15" customHeight="1" x14ac:dyDescent="0.2">
      <c r="A140" s="4" t="s">
        <v>328</v>
      </c>
      <c r="B140" s="4" t="s">
        <v>7</v>
      </c>
      <c r="C140" s="4" t="s">
        <v>34</v>
      </c>
      <c r="D140" s="4">
        <v>20007</v>
      </c>
      <c r="E140" s="6">
        <v>45747</v>
      </c>
      <c r="F140" s="7">
        <v>14.4551</v>
      </c>
      <c r="G140" s="7">
        <f t="shared" si="4"/>
        <v>14.4551</v>
      </c>
      <c r="H140" s="7">
        <f t="shared" si="5"/>
        <v>0.21682649999999998</v>
      </c>
    </row>
    <row r="141" spans="1:8" ht="15" customHeight="1" x14ac:dyDescent="0.2">
      <c r="A141" s="4" t="s">
        <v>328</v>
      </c>
      <c r="B141" s="4" t="s">
        <v>7</v>
      </c>
      <c r="C141" s="4" t="s">
        <v>35</v>
      </c>
      <c r="D141" s="4">
        <v>20007</v>
      </c>
      <c r="E141" s="6">
        <v>45747</v>
      </c>
      <c r="F141" s="7">
        <v>29.331099999999999</v>
      </c>
      <c r="G141" s="7">
        <f t="shared" si="4"/>
        <v>29.331099999999999</v>
      </c>
      <c r="H141" s="7">
        <f t="shared" si="5"/>
        <v>0.43996649999999998</v>
      </c>
    </row>
    <row r="142" spans="1:8" ht="15" customHeight="1" x14ac:dyDescent="0.2">
      <c r="A142" s="4" t="s">
        <v>328</v>
      </c>
      <c r="B142" s="4" t="s">
        <v>7</v>
      </c>
      <c r="C142" s="4" t="s">
        <v>36</v>
      </c>
      <c r="D142" s="4">
        <v>20007</v>
      </c>
      <c r="E142" s="6">
        <v>45747</v>
      </c>
      <c r="F142" s="7">
        <v>12.78266</v>
      </c>
      <c r="G142" s="7">
        <f t="shared" si="4"/>
        <v>12.78266</v>
      </c>
      <c r="H142" s="7">
        <f t="shared" si="5"/>
        <v>0.19173989999999999</v>
      </c>
    </row>
    <row r="143" spans="1:8" ht="15" customHeight="1" x14ac:dyDescent="0.2">
      <c r="A143" s="4" t="s">
        <v>328</v>
      </c>
      <c r="B143" s="4" t="s">
        <v>7</v>
      </c>
      <c r="C143" s="4" t="s">
        <v>37</v>
      </c>
      <c r="D143" s="4">
        <v>20007</v>
      </c>
      <c r="E143" s="6">
        <v>45747</v>
      </c>
      <c r="F143" s="7">
        <v>13.564920000000001</v>
      </c>
      <c r="G143" s="7">
        <f t="shared" si="4"/>
        <v>13.564920000000001</v>
      </c>
      <c r="H143" s="7">
        <f t="shared" si="5"/>
        <v>0.20347380000000001</v>
      </c>
    </row>
    <row r="144" spans="1:8" ht="15" customHeight="1" x14ac:dyDescent="0.2">
      <c r="A144" s="4" t="s">
        <v>328</v>
      </c>
      <c r="B144" s="4" t="s">
        <v>7</v>
      </c>
      <c r="C144" s="4" t="s">
        <v>38</v>
      </c>
      <c r="D144" s="4">
        <v>20007</v>
      </c>
      <c r="E144" s="6">
        <v>45747</v>
      </c>
      <c r="F144" s="7">
        <v>10.963190000000001</v>
      </c>
      <c r="G144" s="7">
        <f t="shared" si="4"/>
        <v>10.963190000000001</v>
      </c>
      <c r="H144" s="7">
        <f t="shared" si="5"/>
        <v>0.16444785000000001</v>
      </c>
    </row>
    <row r="145" spans="1:8" ht="15" customHeight="1" x14ac:dyDescent="0.2">
      <c r="A145" s="4" t="s">
        <v>328</v>
      </c>
      <c r="B145" s="4" t="s">
        <v>7</v>
      </c>
      <c r="C145" s="4" t="s">
        <v>39</v>
      </c>
      <c r="D145" s="4">
        <v>20007</v>
      </c>
      <c r="E145" s="6">
        <v>45747</v>
      </c>
      <c r="F145" s="7">
        <v>39.763840000000002</v>
      </c>
      <c r="G145" s="7">
        <f t="shared" si="4"/>
        <v>39.763840000000002</v>
      </c>
      <c r="H145" s="7">
        <f t="shared" si="5"/>
        <v>0.59645760000000003</v>
      </c>
    </row>
    <row r="146" spans="1:8" ht="15" customHeight="1" x14ac:dyDescent="0.2">
      <c r="A146" s="4" t="s">
        <v>328</v>
      </c>
      <c r="B146" s="4" t="s">
        <v>7</v>
      </c>
      <c r="C146" s="4" t="s">
        <v>341</v>
      </c>
      <c r="D146" s="4">
        <v>20007</v>
      </c>
      <c r="E146" s="6">
        <v>45747</v>
      </c>
      <c r="F146" s="7">
        <v>10.887930000000001</v>
      </c>
      <c r="G146" s="7">
        <f t="shared" si="4"/>
        <v>10.887930000000001</v>
      </c>
      <c r="H146" s="7">
        <f t="shared" si="5"/>
        <v>0.16331895000000002</v>
      </c>
    </row>
    <row r="147" spans="1:8" ht="15" customHeight="1" x14ac:dyDescent="0.2">
      <c r="A147" s="4" t="s">
        <v>328</v>
      </c>
      <c r="B147" s="4" t="s">
        <v>7</v>
      </c>
      <c r="C147" s="4" t="s">
        <v>342</v>
      </c>
      <c r="D147" s="4">
        <v>20007</v>
      </c>
      <c r="E147" s="6">
        <v>45747</v>
      </c>
      <c r="F147" s="7">
        <v>3.6102319999999999</v>
      </c>
      <c r="G147" s="7">
        <f t="shared" si="4"/>
        <v>3.6102319999999999</v>
      </c>
      <c r="H147" s="7">
        <f t="shared" si="5"/>
        <v>5.4153479999999997E-2</v>
      </c>
    </row>
    <row r="148" spans="1:8" ht="15" customHeight="1" x14ac:dyDescent="0.2">
      <c r="A148" s="4" t="s">
        <v>328</v>
      </c>
      <c r="B148" s="4" t="s">
        <v>7</v>
      </c>
      <c r="C148" s="4" t="s">
        <v>40</v>
      </c>
      <c r="D148" s="4">
        <v>20007</v>
      </c>
      <c r="E148" s="6">
        <v>45747</v>
      </c>
      <c r="F148" s="7">
        <v>122.95</v>
      </c>
      <c r="G148" s="7">
        <f t="shared" si="4"/>
        <v>122.95</v>
      </c>
      <c r="H148" s="7">
        <f t="shared" si="5"/>
        <v>1.8442499999999999</v>
      </c>
    </row>
    <row r="149" spans="1:8" ht="15" customHeight="1" x14ac:dyDescent="0.2">
      <c r="A149" s="4" t="s">
        <v>328</v>
      </c>
      <c r="B149" s="4" t="s">
        <v>7</v>
      </c>
      <c r="C149" s="4" t="s">
        <v>41</v>
      </c>
      <c r="D149" s="4">
        <v>20007</v>
      </c>
      <c r="E149" s="6">
        <v>45747</v>
      </c>
      <c r="F149" s="7">
        <v>55.003100000000003</v>
      </c>
      <c r="G149" s="7">
        <f t="shared" si="4"/>
        <v>55.003100000000003</v>
      </c>
      <c r="H149" s="7">
        <f t="shared" si="5"/>
        <v>0.82504650000000002</v>
      </c>
    </row>
    <row r="150" spans="1:8" ht="15" customHeight="1" x14ac:dyDescent="0.2">
      <c r="A150" s="4" t="s">
        <v>328</v>
      </c>
      <c r="B150" s="4" t="s">
        <v>7</v>
      </c>
      <c r="C150" s="4" t="s">
        <v>42</v>
      </c>
      <c r="D150" s="4">
        <v>20007</v>
      </c>
      <c r="E150" s="6">
        <v>45747</v>
      </c>
      <c r="F150" s="7">
        <v>111.92149999999999</v>
      </c>
      <c r="G150" s="7">
        <f t="shared" si="4"/>
        <v>111.92149999999999</v>
      </c>
      <c r="H150" s="7">
        <f t="shared" si="5"/>
        <v>1.6788224999999999</v>
      </c>
    </row>
    <row r="151" spans="1:8" ht="15" customHeight="1" x14ac:dyDescent="0.2">
      <c r="A151" s="4" t="s">
        <v>328</v>
      </c>
      <c r="B151" s="4" t="s">
        <v>7</v>
      </c>
      <c r="C151" s="4" t="s">
        <v>43</v>
      </c>
      <c r="D151" s="4">
        <v>20007</v>
      </c>
      <c r="E151" s="6">
        <v>45747</v>
      </c>
      <c r="F151" s="7">
        <v>69.137569999999997</v>
      </c>
      <c r="G151" s="7">
        <f t="shared" si="4"/>
        <v>69.137569999999997</v>
      </c>
      <c r="H151" s="7">
        <f t="shared" si="5"/>
        <v>1.0370635499999998</v>
      </c>
    </row>
    <row r="152" spans="1:8" ht="15" customHeight="1" x14ac:dyDescent="0.2">
      <c r="A152" s="4" t="s">
        <v>328</v>
      </c>
      <c r="B152" s="4" t="s">
        <v>7</v>
      </c>
      <c r="C152" s="4" t="s">
        <v>44</v>
      </c>
      <c r="D152" s="4">
        <v>20007</v>
      </c>
      <c r="E152" s="6">
        <v>45747</v>
      </c>
      <c r="F152" s="7">
        <v>12.74</v>
      </c>
      <c r="G152" s="7">
        <f t="shared" si="4"/>
        <v>12.74</v>
      </c>
      <c r="H152" s="7">
        <f t="shared" si="5"/>
        <v>0.19109999999999999</v>
      </c>
    </row>
    <row r="153" spans="1:8" ht="15" customHeight="1" x14ac:dyDescent="0.2">
      <c r="A153" s="4" t="s">
        <v>328</v>
      </c>
      <c r="B153" s="4" t="s">
        <v>7</v>
      </c>
      <c r="C153" s="4" t="s">
        <v>45</v>
      </c>
      <c r="D153" s="4">
        <v>20007</v>
      </c>
      <c r="E153" s="6">
        <v>45747</v>
      </c>
      <c r="F153" s="7">
        <v>483.36180000000002</v>
      </c>
      <c r="G153" s="7">
        <f t="shared" si="4"/>
        <v>483.36180000000002</v>
      </c>
      <c r="H153" s="7">
        <f t="shared" si="5"/>
        <v>7.2504270000000002</v>
      </c>
    </row>
    <row r="154" spans="1:8" ht="15" customHeight="1" x14ac:dyDescent="0.2">
      <c r="A154" s="4" t="s">
        <v>328</v>
      </c>
      <c r="B154" s="4" t="s">
        <v>7</v>
      </c>
      <c r="C154" s="4" t="s">
        <v>46</v>
      </c>
      <c r="D154" s="4">
        <v>20007</v>
      </c>
      <c r="E154" s="6">
        <v>45747</v>
      </c>
      <c r="F154" s="7">
        <v>221.477</v>
      </c>
      <c r="G154" s="7">
        <f t="shared" si="4"/>
        <v>221.477</v>
      </c>
      <c r="H154" s="7">
        <f t="shared" si="5"/>
        <v>3.322155</v>
      </c>
    </row>
    <row r="155" spans="1:8" ht="15" customHeight="1" x14ac:dyDescent="0.2">
      <c r="A155" s="4" t="s">
        <v>328</v>
      </c>
      <c r="B155" s="4" t="s">
        <v>7</v>
      </c>
      <c r="C155" s="4" t="s">
        <v>47</v>
      </c>
      <c r="D155" s="4">
        <v>20007</v>
      </c>
      <c r="E155" s="6">
        <v>45747</v>
      </c>
      <c r="F155" s="7">
        <v>260.89780000000002</v>
      </c>
      <c r="G155" s="7">
        <f t="shared" si="4"/>
        <v>260.89780000000002</v>
      </c>
      <c r="H155" s="7">
        <f t="shared" si="5"/>
        <v>3.9134670000000003</v>
      </c>
    </row>
    <row r="156" spans="1:8" ht="15" customHeight="1" x14ac:dyDescent="0.2">
      <c r="A156" s="4" t="s">
        <v>328</v>
      </c>
      <c r="B156" s="4" t="s">
        <v>7</v>
      </c>
      <c r="C156" s="4" t="s">
        <v>48</v>
      </c>
      <c r="D156" s="4">
        <v>20007</v>
      </c>
      <c r="E156" s="6">
        <v>45747</v>
      </c>
      <c r="F156" s="7">
        <v>43.582599999999999</v>
      </c>
      <c r="G156" s="7">
        <f t="shared" si="4"/>
        <v>43.582599999999999</v>
      </c>
      <c r="H156" s="7">
        <f t="shared" si="5"/>
        <v>0.65373899999999996</v>
      </c>
    </row>
    <row r="157" spans="1:8" ht="15" customHeight="1" x14ac:dyDescent="0.2">
      <c r="A157" s="4" t="s">
        <v>328</v>
      </c>
      <c r="B157" s="4" t="s">
        <v>7</v>
      </c>
      <c r="C157" s="4" t="s">
        <v>49</v>
      </c>
      <c r="D157" s="4">
        <v>20007</v>
      </c>
      <c r="E157" s="6">
        <v>45747</v>
      </c>
      <c r="F157" s="7">
        <v>47.823970000000003</v>
      </c>
      <c r="G157" s="7">
        <f t="shared" si="4"/>
        <v>47.823970000000003</v>
      </c>
      <c r="H157" s="7">
        <f t="shared" si="5"/>
        <v>0.71735955000000007</v>
      </c>
    </row>
    <row r="158" spans="1:8" ht="15" customHeight="1" x14ac:dyDescent="0.2">
      <c r="A158" s="4" t="s">
        <v>328</v>
      </c>
      <c r="B158" s="4" t="s">
        <v>7</v>
      </c>
      <c r="C158" s="4" t="s">
        <v>50</v>
      </c>
      <c r="D158" s="4">
        <v>20007</v>
      </c>
      <c r="E158" s="6">
        <v>45747</v>
      </c>
      <c r="F158" s="7">
        <v>641.48559999999998</v>
      </c>
      <c r="G158" s="7">
        <f t="shared" si="4"/>
        <v>641.48559999999998</v>
      </c>
      <c r="H158" s="7">
        <f t="shared" si="5"/>
        <v>9.6222839999999987</v>
      </c>
    </row>
    <row r="159" spans="1:8" ht="15" customHeight="1" x14ac:dyDescent="0.2">
      <c r="A159" s="4" t="s">
        <v>328</v>
      </c>
      <c r="B159" s="4" t="s">
        <v>7</v>
      </c>
      <c r="C159" s="4" t="s">
        <v>51</v>
      </c>
      <c r="D159" s="4">
        <v>20007</v>
      </c>
      <c r="E159" s="6">
        <v>45747</v>
      </c>
      <c r="F159" s="7">
        <v>94.948790000000002</v>
      </c>
      <c r="G159" s="7">
        <f t="shared" si="4"/>
        <v>94.948790000000002</v>
      </c>
      <c r="H159" s="7">
        <f t="shared" si="5"/>
        <v>1.42423185</v>
      </c>
    </row>
    <row r="160" spans="1:8" ht="15" customHeight="1" x14ac:dyDescent="0.2">
      <c r="A160" s="4" t="s">
        <v>328</v>
      </c>
      <c r="B160" s="4" t="s">
        <v>7</v>
      </c>
      <c r="C160" s="4" t="s">
        <v>52</v>
      </c>
      <c r="D160" s="4">
        <v>20007</v>
      </c>
      <c r="E160" s="6">
        <v>45747</v>
      </c>
      <c r="F160" s="7">
        <v>51.819029999999998</v>
      </c>
      <c r="G160" s="7">
        <f t="shared" si="4"/>
        <v>51.819029999999998</v>
      </c>
      <c r="H160" s="7">
        <f t="shared" si="5"/>
        <v>0.77728544999999993</v>
      </c>
    </row>
    <row r="161" spans="1:8" ht="15" customHeight="1" x14ac:dyDescent="0.2">
      <c r="A161" s="4" t="s">
        <v>328</v>
      </c>
      <c r="B161" s="4" t="s">
        <v>7</v>
      </c>
      <c r="C161" s="4" t="s">
        <v>53</v>
      </c>
      <c r="D161" s="4">
        <v>20007</v>
      </c>
      <c r="E161" s="6">
        <v>45747</v>
      </c>
      <c r="F161" s="7">
        <v>50.895820000000001</v>
      </c>
      <c r="G161" s="7">
        <f t="shared" si="4"/>
        <v>50.895820000000001</v>
      </c>
      <c r="H161" s="7">
        <f t="shared" si="5"/>
        <v>0.76343729999999999</v>
      </c>
    </row>
    <row r="162" spans="1:8" ht="15" customHeight="1" x14ac:dyDescent="0.2">
      <c r="A162" s="4" t="s">
        <v>328</v>
      </c>
      <c r="B162" s="4" t="s">
        <v>7</v>
      </c>
      <c r="C162" s="4" t="s">
        <v>54</v>
      </c>
      <c r="D162" s="4">
        <v>20007</v>
      </c>
      <c r="E162" s="6">
        <v>45747</v>
      </c>
      <c r="F162" s="7">
        <v>9.0541999999999998</v>
      </c>
      <c r="G162" s="7">
        <f t="shared" si="4"/>
        <v>9.0541999999999998</v>
      </c>
      <c r="H162" s="7">
        <f t="shared" si="5"/>
        <v>0.13581299999999999</v>
      </c>
    </row>
    <row r="163" spans="1:8" ht="15" customHeight="1" x14ac:dyDescent="0.2">
      <c r="A163" s="4" t="s">
        <v>328</v>
      </c>
      <c r="B163" s="4" t="s">
        <v>7</v>
      </c>
      <c r="C163" s="4" t="s">
        <v>55</v>
      </c>
      <c r="D163" s="4">
        <v>20007</v>
      </c>
      <c r="E163" s="6">
        <v>45747</v>
      </c>
      <c r="F163" s="7">
        <v>204.3109</v>
      </c>
      <c r="G163" s="7">
        <f t="shared" si="4"/>
        <v>204.3109</v>
      </c>
      <c r="H163" s="7">
        <f t="shared" si="5"/>
        <v>3.0646635</v>
      </c>
    </row>
    <row r="164" spans="1:8" ht="15" customHeight="1" x14ac:dyDescent="0.2">
      <c r="A164" s="4" t="s">
        <v>328</v>
      </c>
      <c r="B164" s="4" t="s">
        <v>7</v>
      </c>
      <c r="C164" s="4" t="s">
        <v>56</v>
      </c>
      <c r="D164" s="4">
        <v>20007</v>
      </c>
      <c r="E164" s="6">
        <v>45747</v>
      </c>
      <c r="F164" s="7">
        <v>237.9442</v>
      </c>
      <c r="G164" s="7">
        <f t="shared" si="4"/>
        <v>237.9442</v>
      </c>
      <c r="H164" s="7">
        <f t="shared" si="5"/>
        <v>3.5691629999999996</v>
      </c>
    </row>
    <row r="165" spans="1:8" ht="15" customHeight="1" x14ac:dyDescent="0.2">
      <c r="A165" s="4" t="s">
        <v>328</v>
      </c>
      <c r="B165" s="4" t="s">
        <v>7</v>
      </c>
      <c r="C165" s="4" t="s">
        <v>57</v>
      </c>
      <c r="D165" s="4">
        <v>20007</v>
      </c>
      <c r="E165" s="6">
        <v>45747</v>
      </c>
      <c r="F165" s="7">
        <v>404.52550000000002</v>
      </c>
      <c r="G165" s="7">
        <f t="shared" si="4"/>
        <v>404.52550000000002</v>
      </c>
      <c r="H165" s="7">
        <f t="shared" si="5"/>
        <v>6.0678825000000005</v>
      </c>
    </row>
    <row r="166" spans="1:8" ht="15" customHeight="1" x14ac:dyDescent="0.2">
      <c r="A166" s="4" t="s">
        <v>328</v>
      </c>
      <c r="B166" s="4" t="s">
        <v>7</v>
      </c>
      <c r="C166" s="4" t="s">
        <v>343</v>
      </c>
      <c r="D166" s="4">
        <v>20007</v>
      </c>
      <c r="E166" s="6">
        <v>45747</v>
      </c>
      <c r="F166" s="7">
        <v>2.4013740000000001</v>
      </c>
      <c r="G166" s="7">
        <f t="shared" si="4"/>
        <v>2.4013740000000001</v>
      </c>
      <c r="H166" s="7">
        <f t="shared" si="5"/>
        <v>3.6020610000000002E-2</v>
      </c>
    </row>
    <row r="167" spans="1:8" ht="15" customHeight="1" x14ac:dyDescent="0.2">
      <c r="A167" s="4" t="s">
        <v>328</v>
      </c>
      <c r="B167" s="4" t="s">
        <v>7</v>
      </c>
      <c r="C167" s="4" t="s">
        <v>58</v>
      </c>
      <c r="D167" s="4">
        <v>20007</v>
      </c>
      <c r="E167" s="6">
        <v>45747</v>
      </c>
      <c r="F167" s="7">
        <v>73.37</v>
      </c>
      <c r="G167" s="7">
        <f t="shared" si="4"/>
        <v>73.37</v>
      </c>
      <c r="H167" s="7">
        <f t="shared" si="5"/>
        <v>1.1005499999999999</v>
      </c>
    </row>
    <row r="168" spans="1:8" ht="15" customHeight="1" x14ac:dyDescent="0.2">
      <c r="A168" s="4" t="s">
        <v>328</v>
      </c>
      <c r="B168" s="4" t="s">
        <v>7</v>
      </c>
      <c r="C168" s="4" t="s">
        <v>59</v>
      </c>
      <c r="D168" s="4">
        <v>20007</v>
      </c>
      <c r="E168" s="6">
        <v>45747</v>
      </c>
      <c r="F168" s="7">
        <v>33.49044</v>
      </c>
      <c r="G168" s="7">
        <f t="shared" si="4"/>
        <v>33.49044</v>
      </c>
      <c r="H168" s="7">
        <f t="shared" si="5"/>
        <v>0.50235659999999993</v>
      </c>
    </row>
    <row r="169" spans="1:8" ht="15" customHeight="1" x14ac:dyDescent="0.2">
      <c r="A169" s="4" t="s">
        <v>328</v>
      </c>
      <c r="B169" s="4" t="s">
        <v>7</v>
      </c>
      <c r="C169" s="4" t="s">
        <v>60</v>
      </c>
      <c r="D169" s="4">
        <v>20007</v>
      </c>
      <c r="E169" s="6">
        <v>45747</v>
      </c>
      <c r="F169" s="7">
        <v>29.31804</v>
      </c>
      <c r="G169" s="7">
        <f t="shared" si="4"/>
        <v>29.31804</v>
      </c>
      <c r="H169" s="7">
        <f t="shared" si="5"/>
        <v>0.43977059999999996</v>
      </c>
    </row>
    <row r="170" spans="1:8" ht="15" customHeight="1" x14ac:dyDescent="0.2">
      <c r="A170" s="4" t="s">
        <v>328</v>
      </c>
      <c r="B170" s="4" t="s">
        <v>7</v>
      </c>
      <c r="C170" s="4" t="s">
        <v>61</v>
      </c>
      <c r="D170" s="4">
        <v>20007</v>
      </c>
      <c r="E170" s="6">
        <v>45747</v>
      </c>
      <c r="F170" s="7">
        <v>165.98740000000001</v>
      </c>
      <c r="G170" s="7">
        <f t="shared" si="4"/>
        <v>165.98740000000001</v>
      </c>
      <c r="H170" s="7">
        <f t="shared" si="5"/>
        <v>2.489811</v>
      </c>
    </row>
    <row r="171" spans="1:8" ht="15" customHeight="1" x14ac:dyDescent="0.2">
      <c r="A171" s="4" t="s">
        <v>328</v>
      </c>
      <c r="B171" s="4" t="s">
        <v>7</v>
      </c>
      <c r="C171" s="4" t="s">
        <v>62</v>
      </c>
      <c r="D171" s="4">
        <v>20007</v>
      </c>
      <c r="E171" s="6">
        <v>45747</v>
      </c>
      <c r="F171" s="7">
        <v>101.15219999999999</v>
      </c>
      <c r="G171" s="7">
        <f t="shared" si="4"/>
        <v>101.15219999999999</v>
      </c>
      <c r="H171" s="7">
        <f t="shared" si="5"/>
        <v>1.5172829999999999</v>
      </c>
    </row>
    <row r="172" spans="1:8" ht="15" customHeight="1" x14ac:dyDescent="0.2">
      <c r="A172" s="4" t="s">
        <v>328</v>
      </c>
      <c r="B172" s="4" t="s">
        <v>7</v>
      </c>
      <c r="C172" s="4" t="s">
        <v>63</v>
      </c>
      <c r="D172" s="4">
        <v>20007</v>
      </c>
      <c r="E172" s="6">
        <v>45747</v>
      </c>
      <c r="F172" s="7">
        <v>60.036850000000001</v>
      </c>
      <c r="G172" s="7">
        <f t="shared" si="4"/>
        <v>60.036850000000001</v>
      </c>
      <c r="H172" s="7">
        <f t="shared" si="5"/>
        <v>0.90055275000000001</v>
      </c>
    </row>
    <row r="173" spans="1:8" ht="15" customHeight="1" x14ac:dyDescent="0.2">
      <c r="A173" s="4" t="s">
        <v>328</v>
      </c>
      <c r="B173" s="4" t="s">
        <v>7</v>
      </c>
      <c r="C173" s="4" t="s">
        <v>64</v>
      </c>
      <c r="D173" s="4">
        <v>20007</v>
      </c>
      <c r="E173" s="6">
        <v>45747</v>
      </c>
      <c r="F173" s="7">
        <v>102.8094</v>
      </c>
      <c r="G173" s="7">
        <f t="shared" si="4"/>
        <v>102.8094</v>
      </c>
      <c r="H173" s="7">
        <f t="shared" si="5"/>
        <v>1.542141</v>
      </c>
    </row>
    <row r="174" spans="1:8" ht="15" customHeight="1" x14ac:dyDescent="0.2">
      <c r="A174" s="4" t="s">
        <v>328</v>
      </c>
      <c r="B174" s="4" t="s">
        <v>7</v>
      </c>
      <c r="C174" s="4" t="s">
        <v>65</v>
      </c>
      <c r="D174" s="4">
        <v>20007</v>
      </c>
      <c r="E174" s="6">
        <v>45747</v>
      </c>
      <c r="F174" s="7">
        <v>932.27279999999996</v>
      </c>
      <c r="G174" s="7">
        <f t="shared" si="4"/>
        <v>932.27279999999996</v>
      </c>
      <c r="H174" s="7">
        <f t="shared" si="5"/>
        <v>13.984091999999999</v>
      </c>
    </row>
    <row r="175" spans="1:8" ht="15" customHeight="1" x14ac:dyDescent="0.2">
      <c r="A175" s="4" t="s">
        <v>328</v>
      </c>
      <c r="B175" s="4" t="s">
        <v>7</v>
      </c>
      <c r="C175" s="4" t="s">
        <v>66</v>
      </c>
      <c r="D175" s="4">
        <v>20007</v>
      </c>
      <c r="E175" s="6">
        <v>45747</v>
      </c>
      <c r="F175" s="7">
        <v>31.385179999999998</v>
      </c>
      <c r="G175" s="7">
        <f t="shared" si="4"/>
        <v>31.385179999999998</v>
      </c>
      <c r="H175" s="7">
        <f t="shared" si="5"/>
        <v>0.47077769999999997</v>
      </c>
    </row>
    <row r="176" spans="1:8" ht="15" customHeight="1" x14ac:dyDescent="0.2">
      <c r="A176" s="4" t="s">
        <v>328</v>
      </c>
      <c r="B176" s="4" t="s">
        <v>7</v>
      </c>
      <c r="C176" s="4" t="s">
        <v>67</v>
      </c>
      <c r="D176" s="4">
        <v>20007</v>
      </c>
      <c r="E176" s="6">
        <v>45747</v>
      </c>
      <c r="F176" s="7">
        <v>22.206099999999999</v>
      </c>
      <c r="G176" s="7">
        <f t="shared" si="4"/>
        <v>22.206099999999999</v>
      </c>
      <c r="H176" s="7">
        <f t="shared" si="5"/>
        <v>0.33309149999999998</v>
      </c>
    </row>
    <row r="177" spans="1:8" ht="15" customHeight="1" x14ac:dyDescent="0.2">
      <c r="A177" s="4" t="s">
        <v>328</v>
      </c>
      <c r="B177" s="4" t="s">
        <v>7</v>
      </c>
      <c r="C177" s="4" t="s">
        <v>68</v>
      </c>
      <c r="D177" s="4">
        <v>20007</v>
      </c>
      <c r="E177" s="6">
        <v>45747</v>
      </c>
      <c r="F177" s="7">
        <v>118.2578</v>
      </c>
      <c r="G177" s="7">
        <f t="shared" si="4"/>
        <v>118.2578</v>
      </c>
      <c r="H177" s="7">
        <f t="shared" si="5"/>
        <v>1.7738670000000001</v>
      </c>
    </row>
    <row r="178" spans="1:8" ht="15" customHeight="1" x14ac:dyDescent="0.2">
      <c r="A178" s="4" t="s">
        <v>328</v>
      </c>
      <c r="B178" s="4" t="s">
        <v>7</v>
      </c>
      <c r="C178" s="4" t="s">
        <v>69</v>
      </c>
      <c r="D178" s="4">
        <v>20007</v>
      </c>
      <c r="E178" s="6">
        <v>45747</v>
      </c>
      <c r="F178" s="7">
        <v>10.0646</v>
      </c>
      <c r="G178" s="7">
        <f t="shared" si="4"/>
        <v>10.0646</v>
      </c>
      <c r="H178" s="7">
        <f t="shared" si="5"/>
        <v>0.15096899999999999</v>
      </c>
    </row>
    <row r="179" spans="1:8" ht="15" customHeight="1" x14ac:dyDescent="0.2">
      <c r="A179" s="4" t="s">
        <v>328</v>
      </c>
      <c r="B179" s="4" t="s">
        <v>7</v>
      </c>
      <c r="C179" s="4" t="s">
        <v>70</v>
      </c>
      <c r="D179" s="4">
        <v>20007</v>
      </c>
      <c r="E179" s="6">
        <v>45747</v>
      </c>
      <c r="F179" s="7">
        <v>33.020189999999999</v>
      </c>
      <c r="G179" s="7">
        <f t="shared" si="4"/>
        <v>33.020189999999999</v>
      </c>
      <c r="H179" s="7">
        <f t="shared" si="5"/>
        <v>0.49530284999999996</v>
      </c>
    </row>
    <row r="180" spans="1:8" ht="15" customHeight="1" x14ac:dyDescent="0.2">
      <c r="A180" s="4" t="s">
        <v>328</v>
      </c>
      <c r="B180" s="4" t="s">
        <v>7</v>
      </c>
      <c r="C180" s="4" t="s">
        <v>71</v>
      </c>
      <c r="D180" s="4">
        <v>20007</v>
      </c>
      <c r="E180" s="6">
        <v>45747</v>
      </c>
      <c r="F180" s="7">
        <v>211.7329</v>
      </c>
      <c r="G180" s="7">
        <f t="shared" si="4"/>
        <v>211.7329</v>
      </c>
      <c r="H180" s="7">
        <f t="shared" si="5"/>
        <v>3.1759934999999997</v>
      </c>
    </row>
    <row r="181" spans="1:8" ht="15" customHeight="1" x14ac:dyDescent="0.2">
      <c r="A181" s="4" t="s">
        <v>328</v>
      </c>
      <c r="B181" s="4" t="s">
        <v>7</v>
      </c>
      <c r="C181" s="4" t="s">
        <v>72</v>
      </c>
      <c r="D181" s="4">
        <v>20007</v>
      </c>
      <c r="E181" s="6">
        <v>45747</v>
      </c>
      <c r="F181" s="7">
        <v>132.566</v>
      </c>
      <c r="G181" s="7">
        <f t="shared" si="4"/>
        <v>132.566</v>
      </c>
      <c r="H181" s="7">
        <f t="shared" si="5"/>
        <v>1.9884899999999999</v>
      </c>
    </row>
    <row r="182" spans="1:8" ht="15" customHeight="1" x14ac:dyDescent="0.2">
      <c r="A182" s="4" t="s">
        <v>328</v>
      </c>
      <c r="B182" s="4" t="s">
        <v>7</v>
      </c>
      <c r="C182" s="4" t="s">
        <v>73</v>
      </c>
      <c r="D182" s="4">
        <v>20007</v>
      </c>
      <c r="E182" s="6">
        <v>45747</v>
      </c>
      <c r="F182" s="7">
        <v>79.965770000000006</v>
      </c>
      <c r="G182" s="7">
        <f t="shared" si="4"/>
        <v>79.965770000000006</v>
      </c>
      <c r="H182" s="7">
        <f t="shared" si="5"/>
        <v>1.19948655</v>
      </c>
    </row>
    <row r="183" spans="1:8" ht="15" customHeight="1" x14ac:dyDescent="0.2">
      <c r="A183" s="4" t="s">
        <v>328</v>
      </c>
      <c r="B183" s="4" t="s">
        <v>7</v>
      </c>
      <c r="C183" s="4" t="s">
        <v>344</v>
      </c>
      <c r="D183" s="4">
        <v>20007</v>
      </c>
      <c r="E183" s="6">
        <v>45747</v>
      </c>
      <c r="F183" s="7">
        <v>45.182690000000001</v>
      </c>
      <c r="G183" s="7">
        <f t="shared" si="4"/>
        <v>45.182690000000001</v>
      </c>
      <c r="H183" s="7">
        <f t="shared" si="5"/>
        <v>0.67774034999999999</v>
      </c>
    </row>
    <row r="184" spans="1:8" ht="15" customHeight="1" x14ac:dyDescent="0.2">
      <c r="A184" s="4" t="s">
        <v>328</v>
      </c>
      <c r="B184" s="4" t="s">
        <v>7</v>
      </c>
      <c r="C184" s="4" t="s">
        <v>74</v>
      </c>
      <c r="D184" s="4">
        <v>20007</v>
      </c>
      <c r="E184" s="6">
        <v>45747</v>
      </c>
      <c r="F184" s="7">
        <v>1.5858840000000001</v>
      </c>
      <c r="G184" s="7">
        <f t="shared" si="4"/>
        <v>1.5858840000000001</v>
      </c>
      <c r="H184" s="7">
        <f t="shared" si="5"/>
        <v>2.3788259999999999E-2</v>
      </c>
    </row>
    <row r="185" spans="1:8" ht="15" customHeight="1" x14ac:dyDescent="0.2">
      <c r="A185" s="4" t="s">
        <v>328</v>
      </c>
      <c r="B185" s="4" t="s">
        <v>7</v>
      </c>
      <c r="C185" s="4" t="s">
        <v>75</v>
      </c>
      <c r="D185" s="4">
        <v>20007</v>
      </c>
      <c r="E185" s="6">
        <v>45747</v>
      </c>
      <c r="F185" s="7">
        <v>243.1865</v>
      </c>
      <c r="G185" s="7">
        <f t="shared" si="4"/>
        <v>243.1865</v>
      </c>
      <c r="H185" s="7">
        <f t="shared" si="5"/>
        <v>3.6477974999999998</v>
      </c>
    </row>
    <row r="186" spans="1:8" ht="15" customHeight="1" x14ac:dyDescent="0.2">
      <c r="A186" s="4" t="s">
        <v>328</v>
      </c>
      <c r="B186" s="4" t="s">
        <v>7</v>
      </c>
      <c r="C186" s="4" t="s">
        <v>76</v>
      </c>
      <c r="D186" s="4">
        <v>20007</v>
      </c>
      <c r="E186" s="6">
        <v>45747</v>
      </c>
      <c r="F186" s="7">
        <v>66.877300000000005</v>
      </c>
      <c r="G186" s="7">
        <f t="shared" si="4"/>
        <v>66.877300000000005</v>
      </c>
      <c r="H186" s="7">
        <f t="shared" si="5"/>
        <v>1.0031595</v>
      </c>
    </row>
    <row r="187" spans="1:8" ht="15" customHeight="1" x14ac:dyDescent="0.2">
      <c r="A187" s="4" t="s">
        <v>328</v>
      </c>
      <c r="B187" s="4" t="s">
        <v>7</v>
      </c>
      <c r="C187" s="4" t="s">
        <v>77</v>
      </c>
      <c r="D187" s="4">
        <v>20007</v>
      </c>
      <c r="E187" s="6">
        <v>45747</v>
      </c>
      <c r="F187" s="7">
        <v>63.881079999999997</v>
      </c>
      <c r="G187" s="7">
        <f t="shared" si="4"/>
        <v>63.881079999999997</v>
      </c>
      <c r="H187" s="7">
        <f t="shared" si="5"/>
        <v>0.95821619999999996</v>
      </c>
    </row>
    <row r="188" spans="1:8" ht="15" customHeight="1" x14ac:dyDescent="0.2">
      <c r="A188" s="4" t="s">
        <v>328</v>
      </c>
      <c r="B188" s="4" t="s">
        <v>7</v>
      </c>
      <c r="C188" s="4" t="s">
        <v>78</v>
      </c>
      <c r="D188" s="4">
        <v>20007</v>
      </c>
      <c r="E188" s="6">
        <v>45747</v>
      </c>
      <c r="F188" s="7">
        <v>2497.0749999999998</v>
      </c>
      <c r="G188" s="7">
        <f t="shared" si="4"/>
        <v>2497.0749999999998</v>
      </c>
      <c r="H188" s="7">
        <f t="shared" si="5"/>
        <v>37.456124999999993</v>
      </c>
    </row>
    <row r="189" spans="1:8" ht="15" customHeight="1" x14ac:dyDescent="0.2">
      <c r="A189" s="4" t="s">
        <v>328</v>
      </c>
      <c r="B189" s="4" t="s">
        <v>7</v>
      </c>
      <c r="C189" s="4" t="s">
        <v>79</v>
      </c>
      <c r="D189" s="4">
        <v>20007</v>
      </c>
      <c r="E189" s="6">
        <v>45747</v>
      </c>
      <c r="F189" s="7">
        <v>133.2713</v>
      </c>
      <c r="G189" s="7">
        <f t="shared" ref="G189:G250" si="6">F189</f>
        <v>133.2713</v>
      </c>
      <c r="H189" s="7">
        <f t="shared" ref="H189:H250" si="7">G189*0.015</f>
        <v>1.9990694999999998</v>
      </c>
    </row>
    <row r="190" spans="1:8" ht="15" customHeight="1" x14ac:dyDescent="0.2">
      <c r="A190" s="4" t="s">
        <v>328</v>
      </c>
      <c r="B190" s="4" t="s">
        <v>7</v>
      </c>
      <c r="C190" s="4" t="s">
        <v>80</v>
      </c>
      <c r="D190" s="4">
        <v>20007</v>
      </c>
      <c r="E190" s="6">
        <v>45747</v>
      </c>
      <c r="F190" s="7">
        <v>42.919580000000003</v>
      </c>
      <c r="G190" s="7">
        <f t="shared" si="6"/>
        <v>42.919580000000003</v>
      </c>
      <c r="H190" s="7">
        <f t="shared" si="7"/>
        <v>0.64379370000000002</v>
      </c>
    </row>
    <row r="191" spans="1:8" ht="15" customHeight="1" x14ac:dyDescent="0.2">
      <c r="A191" s="4" t="s">
        <v>328</v>
      </c>
      <c r="B191" s="4" t="s">
        <v>7</v>
      </c>
      <c r="C191" s="4" t="s">
        <v>81</v>
      </c>
      <c r="D191" s="4">
        <v>20007</v>
      </c>
      <c r="E191" s="6">
        <v>45747</v>
      </c>
      <c r="F191" s="7">
        <v>82.165989999999994</v>
      </c>
      <c r="G191" s="7">
        <f t="shared" si="6"/>
        <v>82.165989999999994</v>
      </c>
      <c r="H191" s="7">
        <f t="shared" si="7"/>
        <v>1.2324898499999999</v>
      </c>
    </row>
    <row r="192" spans="1:8" ht="15" customHeight="1" x14ac:dyDescent="0.2">
      <c r="A192" s="4" t="s">
        <v>328</v>
      </c>
      <c r="B192" s="4" t="s">
        <v>7</v>
      </c>
      <c r="C192" s="4" t="s">
        <v>82</v>
      </c>
      <c r="D192" s="4">
        <v>20007</v>
      </c>
      <c r="E192" s="6">
        <v>45747</v>
      </c>
      <c r="F192" s="7">
        <v>83.208489999999998</v>
      </c>
      <c r="G192" s="7">
        <f t="shared" si="6"/>
        <v>83.208489999999998</v>
      </c>
      <c r="H192" s="7">
        <f t="shared" si="7"/>
        <v>1.2481273499999999</v>
      </c>
    </row>
    <row r="193" spans="1:8" ht="15" customHeight="1" x14ac:dyDescent="0.2">
      <c r="A193" s="4" t="s">
        <v>328</v>
      </c>
      <c r="B193" s="4" t="s">
        <v>7</v>
      </c>
      <c r="C193" s="4" t="s">
        <v>83</v>
      </c>
      <c r="D193" s="4">
        <v>20007</v>
      </c>
      <c r="E193" s="6">
        <v>45747</v>
      </c>
      <c r="F193" s="7">
        <v>215.4616</v>
      </c>
      <c r="G193" s="7">
        <f t="shared" si="6"/>
        <v>215.4616</v>
      </c>
      <c r="H193" s="7">
        <f t="shared" si="7"/>
        <v>3.2319239999999998</v>
      </c>
    </row>
    <row r="194" spans="1:8" ht="15" customHeight="1" x14ac:dyDescent="0.2">
      <c r="A194" s="4" t="s">
        <v>328</v>
      </c>
      <c r="B194" s="4" t="s">
        <v>7</v>
      </c>
      <c r="C194" s="4" t="s">
        <v>84</v>
      </c>
      <c r="D194" s="4">
        <v>20007</v>
      </c>
      <c r="E194" s="6">
        <v>45747</v>
      </c>
      <c r="F194" s="7">
        <v>16.485990000000001</v>
      </c>
      <c r="G194" s="7">
        <f t="shared" si="6"/>
        <v>16.485990000000001</v>
      </c>
      <c r="H194" s="7">
        <f t="shared" si="7"/>
        <v>0.24728985000000001</v>
      </c>
    </row>
    <row r="195" spans="1:8" ht="15" customHeight="1" x14ac:dyDescent="0.2">
      <c r="A195" s="4" t="s">
        <v>328</v>
      </c>
      <c r="B195" s="4" t="s">
        <v>7</v>
      </c>
      <c r="C195" s="4" t="s">
        <v>85</v>
      </c>
      <c r="D195" s="4">
        <v>20007</v>
      </c>
      <c r="E195" s="6">
        <v>45747</v>
      </c>
      <c r="F195" s="7">
        <v>146.38399999999999</v>
      </c>
      <c r="G195" s="7">
        <f t="shared" si="6"/>
        <v>146.38399999999999</v>
      </c>
      <c r="H195" s="7">
        <f t="shared" si="7"/>
        <v>2.1957599999999995</v>
      </c>
    </row>
    <row r="196" spans="1:8" ht="15" customHeight="1" x14ac:dyDescent="0.2">
      <c r="A196" s="4" t="s">
        <v>328</v>
      </c>
      <c r="B196" s="4" t="s">
        <v>7</v>
      </c>
      <c r="C196" s="4" t="s">
        <v>86</v>
      </c>
      <c r="D196" s="4">
        <v>20007</v>
      </c>
      <c r="E196" s="6">
        <v>45747</v>
      </c>
      <c r="F196" s="7">
        <v>107.9914</v>
      </c>
      <c r="G196" s="7">
        <f t="shared" si="6"/>
        <v>107.9914</v>
      </c>
      <c r="H196" s="7">
        <f t="shared" si="7"/>
        <v>1.6198709999999998</v>
      </c>
    </row>
    <row r="197" spans="1:8" ht="15" customHeight="1" x14ac:dyDescent="0.2">
      <c r="A197" s="4" t="s">
        <v>328</v>
      </c>
      <c r="B197" s="4" t="s">
        <v>7</v>
      </c>
      <c r="C197" s="4" t="s">
        <v>87</v>
      </c>
      <c r="D197" s="4">
        <v>20007</v>
      </c>
      <c r="E197" s="6">
        <v>45747</v>
      </c>
      <c r="F197" s="7">
        <v>96.750100000000003</v>
      </c>
      <c r="G197" s="7">
        <f t="shared" si="6"/>
        <v>96.750100000000003</v>
      </c>
      <c r="H197" s="7">
        <f t="shared" si="7"/>
        <v>1.4512514999999999</v>
      </c>
    </row>
    <row r="198" spans="1:8" ht="15" customHeight="1" x14ac:dyDescent="0.2">
      <c r="A198" s="4" t="s">
        <v>328</v>
      </c>
      <c r="B198" s="4" t="s">
        <v>7</v>
      </c>
      <c r="C198" s="4" t="s">
        <v>88</v>
      </c>
      <c r="D198" s="4">
        <v>20007</v>
      </c>
      <c r="E198" s="6">
        <v>45747</v>
      </c>
      <c r="F198" s="7">
        <v>46.760649999999998</v>
      </c>
      <c r="G198" s="7">
        <f t="shared" si="6"/>
        <v>46.760649999999998</v>
      </c>
      <c r="H198" s="7">
        <f t="shared" si="7"/>
        <v>0.70140974999999994</v>
      </c>
    </row>
    <row r="199" spans="1:8" ht="15" customHeight="1" x14ac:dyDescent="0.2">
      <c r="A199" s="4" t="s">
        <v>328</v>
      </c>
      <c r="B199" s="4" t="s">
        <v>7</v>
      </c>
      <c r="C199" s="4" t="s">
        <v>89</v>
      </c>
      <c r="D199" s="4">
        <v>20007</v>
      </c>
      <c r="E199" s="6">
        <v>45747</v>
      </c>
      <c r="F199" s="7">
        <v>233.68700000000001</v>
      </c>
      <c r="G199" s="7">
        <f t="shared" si="6"/>
        <v>233.68700000000001</v>
      </c>
      <c r="H199" s="7">
        <f t="shared" si="7"/>
        <v>3.5053049999999999</v>
      </c>
    </row>
    <row r="200" spans="1:8" ht="15" customHeight="1" x14ac:dyDescent="0.2">
      <c r="A200" s="4" t="s">
        <v>328</v>
      </c>
      <c r="B200" s="4" t="s">
        <v>7</v>
      </c>
      <c r="C200" s="4" t="s">
        <v>90</v>
      </c>
      <c r="D200" s="4">
        <v>20007</v>
      </c>
      <c r="E200" s="6">
        <v>45747</v>
      </c>
      <c r="F200" s="7">
        <v>5.748462</v>
      </c>
      <c r="G200" s="7">
        <f t="shared" si="6"/>
        <v>5.748462</v>
      </c>
      <c r="H200" s="7">
        <f t="shared" si="7"/>
        <v>8.6226929999999993E-2</v>
      </c>
    </row>
    <row r="201" spans="1:8" ht="15" customHeight="1" x14ac:dyDescent="0.2">
      <c r="A201" s="4" t="s">
        <v>328</v>
      </c>
      <c r="B201" s="4" t="s">
        <v>7</v>
      </c>
      <c r="C201" s="4" t="s">
        <v>91</v>
      </c>
      <c r="D201" s="4">
        <v>20007</v>
      </c>
      <c r="E201" s="6">
        <v>45747</v>
      </c>
      <c r="F201" s="7">
        <v>34.933579999999999</v>
      </c>
      <c r="G201" s="7">
        <f t="shared" si="6"/>
        <v>34.933579999999999</v>
      </c>
      <c r="H201" s="7">
        <f t="shared" si="7"/>
        <v>0.52400369999999996</v>
      </c>
    </row>
    <row r="202" spans="1:8" ht="15" customHeight="1" x14ac:dyDescent="0.2">
      <c r="A202" s="4" t="s">
        <v>328</v>
      </c>
      <c r="B202" s="4" t="s">
        <v>7</v>
      </c>
      <c r="C202" s="4" t="s">
        <v>92</v>
      </c>
      <c r="D202" s="4">
        <v>20007</v>
      </c>
      <c r="E202" s="6">
        <v>45747</v>
      </c>
      <c r="F202" s="7">
        <v>15.794169999999999</v>
      </c>
      <c r="G202" s="7">
        <f t="shared" si="6"/>
        <v>15.794169999999999</v>
      </c>
      <c r="H202" s="7">
        <f t="shared" si="7"/>
        <v>0.23691254999999997</v>
      </c>
    </row>
    <row r="203" spans="1:8" ht="15" customHeight="1" x14ac:dyDescent="0.2">
      <c r="A203" s="4" t="s">
        <v>328</v>
      </c>
      <c r="B203" s="4" t="s">
        <v>7</v>
      </c>
      <c r="C203" s="4" t="s">
        <v>93</v>
      </c>
      <c r="D203" s="4">
        <v>20007</v>
      </c>
      <c r="E203" s="6">
        <v>45747</v>
      </c>
      <c r="F203" s="7">
        <v>49.875720000000001</v>
      </c>
      <c r="G203" s="7">
        <f t="shared" si="6"/>
        <v>49.875720000000001</v>
      </c>
      <c r="H203" s="7">
        <f t="shared" si="7"/>
        <v>0.74813580000000002</v>
      </c>
    </row>
    <row r="204" spans="1:8" ht="15" customHeight="1" x14ac:dyDescent="0.2">
      <c r="A204" s="4" t="s">
        <v>328</v>
      </c>
      <c r="B204" s="4" t="s">
        <v>7</v>
      </c>
      <c r="C204" s="4" t="s">
        <v>94</v>
      </c>
      <c r="D204" s="4">
        <v>20007</v>
      </c>
      <c r="E204" s="6">
        <v>45747</v>
      </c>
      <c r="F204" s="7">
        <v>69.772549999999995</v>
      </c>
      <c r="G204" s="7">
        <f t="shared" si="6"/>
        <v>69.772549999999995</v>
      </c>
      <c r="H204" s="7">
        <f t="shared" si="7"/>
        <v>1.0465882499999999</v>
      </c>
    </row>
    <row r="205" spans="1:8" ht="15" customHeight="1" x14ac:dyDescent="0.2">
      <c r="A205" s="4" t="s">
        <v>328</v>
      </c>
      <c r="B205" s="4" t="s">
        <v>7</v>
      </c>
      <c r="C205" s="4" t="s">
        <v>95</v>
      </c>
      <c r="D205" s="4">
        <v>20007</v>
      </c>
      <c r="E205" s="6">
        <v>45747</v>
      </c>
      <c r="F205" s="7">
        <v>88.741640000000004</v>
      </c>
      <c r="G205" s="7">
        <f t="shared" si="6"/>
        <v>88.741640000000004</v>
      </c>
      <c r="H205" s="7">
        <f t="shared" si="7"/>
        <v>1.3311246000000001</v>
      </c>
    </row>
    <row r="206" spans="1:8" ht="15" customHeight="1" x14ac:dyDescent="0.2">
      <c r="A206" s="4" t="s">
        <v>328</v>
      </c>
      <c r="B206" s="4" t="s">
        <v>7</v>
      </c>
      <c r="C206" s="4" t="s">
        <v>96</v>
      </c>
      <c r="D206" s="4">
        <v>20007</v>
      </c>
      <c r="E206" s="6">
        <v>45747</v>
      </c>
      <c r="F206" s="7">
        <v>363.53820000000002</v>
      </c>
      <c r="G206" s="7">
        <f t="shared" si="6"/>
        <v>363.53820000000002</v>
      </c>
      <c r="H206" s="7">
        <f t="shared" si="7"/>
        <v>5.4530729999999998</v>
      </c>
    </row>
    <row r="207" spans="1:8" ht="15" customHeight="1" x14ac:dyDescent="0.2">
      <c r="A207" s="4" t="s">
        <v>328</v>
      </c>
      <c r="B207" s="4" t="s">
        <v>7</v>
      </c>
      <c r="C207" s="4" t="s">
        <v>97</v>
      </c>
      <c r="D207" s="4">
        <v>20007</v>
      </c>
      <c r="E207" s="6">
        <v>45747</v>
      </c>
      <c r="F207" s="7">
        <v>94.269959999999998</v>
      </c>
      <c r="G207" s="7">
        <f t="shared" si="6"/>
        <v>94.269959999999998</v>
      </c>
      <c r="H207" s="7">
        <f t="shared" si="7"/>
        <v>1.4140493999999999</v>
      </c>
    </row>
    <row r="208" spans="1:8" ht="15" customHeight="1" x14ac:dyDescent="0.2">
      <c r="A208" s="4" t="s">
        <v>328</v>
      </c>
      <c r="B208" s="4" t="s">
        <v>7</v>
      </c>
      <c r="C208" s="4" t="s">
        <v>98</v>
      </c>
      <c r="D208" s="4">
        <v>20007</v>
      </c>
      <c r="E208" s="6">
        <v>45747</v>
      </c>
      <c r="F208" s="7">
        <v>23.200199999999999</v>
      </c>
      <c r="G208" s="7">
        <f t="shared" si="6"/>
        <v>23.200199999999999</v>
      </c>
      <c r="H208" s="7">
        <f t="shared" si="7"/>
        <v>0.34800299999999995</v>
      </c>
    </row>
    <row r="209" spans="1:8" ht="15" customHeight="1" x14ac:dyDescent="0.2">
      <c r="A209" s="4" t="s">
        <v>328</v>
      </c>
      <c r="B209" s="4" t="s">
        <v>7</v>
      </c>
      <c r="C209" s="4" t="s">
        <v>99</v>
      </c>
      <c r="D209" s="4">
        <v>20007</v>
      </c>
      <c r="E209" s="6">
        <v>45747</v>
      </c>
      <c r="F209" s="7">
        <v>3.2847</v>
      </c>
      <c r="G209" s="7">
        <f t="shared" si="6"/>
        <v>3.2847</v>
      </c>
      <c r="H209" s="7">
        <f t="shared" si="7"/>
        <v>4.9270499999999995E-2</v>
      </c>
    </row>
    <row r="210" spans="1:8" ht="15" customHeight="1" x14ac:dyDescent="0.2">
      <c r="A210" s="4" t="s">
        <v>328</v>
      </c>
      <c r="B210" s="4" t="s">
        <v>7</v>
      </c>
      <c r="C210" s="4" t="s">
        <v>100</v>
      </c>
      <c r="D210" s="4">
        <v>20007</v>
      </c>
      <c r="E210" s="6">
        <v>45747</v>
      </c>
      <c r="F210" s="7">
        <v>58.862549999999999</v>
      </c>
      <c r="G210" s="7">
        <f t="shared" si="6"/>
        <v>58.862549999999999</v>
      </c>
      <c r="H210" s="7">
        <f t="shared" si="7"/>
        <v>0.88293824999999992</v>
      </c>
    </row>
    <row r="211" spans="1:8" ht="15" customHeight="1" x14ac:dyDescent="0.2">
      <c r="A211" s="4" t="s">
        <v>328</v>
      </c>
      <c r="B211" s="4" t="s">
        <v>7</v>
      </c>
      <c r="C211" s="4" t="s">
        <v>101</v>
      </c>
      <c r="D211" s="4">
        <v>20007</v>
      </c>
      <c r="E211" s="6">
        <v>45747</v>
      </c>
      <c r="F211" s="7">
        <v>33.921639999999996</v>
      </c>
      <c r="G211" s="7">
        <f t="shared" si="6"/>
        <v>33.921639999999996</v>
      </c>
      <c r="H211" s="7">
        <f t="shared" si="7"/>
        <v>0.50882459999999996</v>
      </c>
    </row>
    <row r="212" spans="1:8" ht="15" customHeight="1" x14ac:dyDescent="0.2">
      <c r="A212" s="4" t="s">
        <v>328</v>
      </c>
      <c r="B212" s="4" t="s">
        <v>7</v>
      </c>
      <c r="C212" s="4" t="s">
        <v>102</v>
      </c>
      <c r="D212" s="4">
        <v>20007</v>
      </c>
      <c r="E212" s="6">
        <v>45747</v>
      </c>
      <c r="F212" s="7">
        <v>22.472660000000001</v>
      </c>
      <c r="G212" s="7">
        <f t="shared" si="6"/>
        <v>22.472660000000001</v>
      </c>
      <c r="H212" s="7">
        <f t="shared" si="7"/>
        <v>0.3370899</v>
      </c>
    </row>
    <row r="213" spans="1:8" ht="15" customHeight="1" x14ac:dyDescent="0.2">
      <c r="A213" s="4" t="s">
        <v>328</v>
      </c>
      <c r="B213" s="4" t="s">
        <v>7</v>
      </c>
      <c r="C213" s="4" t="s">
        <v>103</v>
      </c>
      <c r="D213" s="4">
        <v>20007</v>
      </c>
      <c r="E213" s="6">
        <v>45747</v>
      </c>
      <c r="F213" s="7">
        <v>39.496940000000002</v>
      </c>
      <c r="G213" s="7">
        <f t="shared" si="6"/>
        <v>39.496940000000002</v>
      </c>
      <c r="H213" s="7">
        <f t="shared" si="7"/>
        <v>0.59245409999999998</v>
      </c>
    </row>
    <row r="214" spans="1:8" ht="15" customHeight="1" x14ac:dyDescent="0.2">
      <c r="A214" s="4" t="s">
        <v>328</v>
      </c>
      <c r="B214" s="4" t="s">
        <v>7</v>
      </c>
      <c r="C214" s="4" t="s">
        <v>345</v>
      </c>
      <c r="D214" s="4">
        <v>20007</v>
      </c>
      <c r="E214" s="6">
        <v>45747</v>
      </c>
      <c r="F214" s="7">
        <v>2.5997110000000001</v>
      </c>
      <c r="G214" s="7">
        <f t="shared" si="6"/>
        <v>2.5997110000000001</v>
      </c>
      <c r="H214" s="7">
        <f t="shared" si="7"/>
        <v>3.8995664999999999E-2</v>
      </c>
    </row>
    <row r="215" spans="1:8" ht="15" customHeight="1" x14ac:dyDescent="0.2">
      <c r="A215" s="4" t="s">
        <v>328</v>
      </c>
      <c r="B215" s="4" t="s">
        <v>7</v>
      </c>
      <c r="C215" s="4" t="s">
        <v>110</v>
      </c>
      <c r="D215" s="4">
        <v>20007</v>
      </c>
      <c r="E215" s="6">
        <v>45747</v>
      </c>
      <c r="F215" s="7">
        <v>21.334779999999999</v>
      </c>
      <c r="G215" s="7">
        <f t="shared" si="6"/>
        <v>21.334779999999999</v>
      </c>
      <c r="H215" s="7">
        <f t="shared" si="7"/>
        <v>0.32002169999999996</v>
      </c>
    </row>
    <row r="216" spans="1:8" ht="15" customHeight="1" x14ac:dyDescent="0.2">
      <c r="A216" s="4" t="s">
        <v>328</v>
      </c>
      <c r="B216" s="4" t="s">
        <v>7</v>
      </c>
      <c r="C216" s="4" t="s">
        <v>335</v>
      </c>
      <c r="D216" s="4">
        <v>20007</v>
      </c>
      <c r="E216" s="6">
        <v>45747</v>
      </c>
      <c r="F216" s="7">
        <v>6.6580000000000004</v>
      </c>
      <c r="G216" s="7">
        <f t="shared" si="6"/>
        <v>6.6580000000000004</v>
      </c>
      <c r="H216" s="7">
        <f t="shared" si="7"/>
        <v>9.987E-2</v>
      </c>
    </row>
    <row r="217" spans="1:8" ht="15" customHeight="1" x14ac:dyDescent="0.2">
      <c r="A217" s="4" t="s">
        <v>328</v>
      </c>
      <c r="B217" s="4" t="s">
        <v>7</v>
      </c>
      <c r="C217" s="4" t="s">
        <v>111</v>
      </c>
      <c r="D217" s="4">
        <v>20007</v>
      </c>
      <c r="E217" s="6">
        <v>45747</v>
      </c>
      <c r="F217" s="7">
        <v>24.787849999999999</v>
      </c>
      <c r="G217" s="7">
        <f t="shared" si="6"/>
        <v>24.787849999999999</v>
      </c>
      <c r="H217" s="7">
        <f t="shared" si="7"/>
        <v>0.37181774999999995</v>
      </c>
    </row>
    <row r="218" spans="1:8" ht="15" customHeight="1" x14ac:dyDescent="0.2">
      <c r="A218" s="4" t="s">
        <v>328</v>
      </c>
      <c r="B218" s="4" t="s">
        <v>7</v>
      </c>
      <c r="C218" s="4" t="s">
        <v>112</v>
      </c>
      <c r="D218" s="4">
        <v>20007</v>
      </c>
      <c r="E218" s="6">
        <v>45747</v>
      </c>
      <c r="F218" s="7">
        <v>72.644909999999996</v>
      </c>
      <c r="G218" s="7">
        <f t="shared" si="6"/>
        <v>72.644909999999996</v>
      </c>
      <c r="H218" s="7">
        <f t="shared" si="7"/>
        <v>1.0896736499999999</v>
      </c>
    </row>
    <row r="219" spans="1:8" ht="15" customHeight="1" x14ac:dyDescent="0.2">
      <c r="A219" s="4" t="s">
        <v>328</v>
      </c>
      <c r="B219" s="4" t="s">
        <v>7</v>
      </c>
      <c r="C219" s="4" t="s">
        <v>113</v>
      </c>
      <c r="D219" s="4">
        <v>20007</v>
      </c>
      <c r="E219" s="6">
        <v>45747</v>
      </c>
      <c r="F219" s="7">
        <v>22.965440000000001</v>
      </c>
      <c r="G219" s="7">
        <f t="shared" si="6"/>
        <v>22.965440000000001</v>
      </c>
      <c r="H219" s="7">
        <f t="shared" si="7"/>
        <v>0.3444816</v>
      </c>
    </row>
    <row r="220" spans="1:8" ht="15" customHeight="1" x14ac:dyDescent="0.2">
      <c r="A220" s="4" t="s">
        <v>328</v>
      </c>
      <c r="B220" s="4" t="s">
        <v>7</v>
      </c>
      <c r="C220" s="4" t="s">
        <v>114</v>
      </c>
      <c r="D220" s="4">
        <v>20007</v>
      </c>
      <c r="E220" s="6">
        <v>45747</v>
      </c>
      <c r="F220" s="7">
        <v>6.4574299999999996</v>
      </c>
      <c r="G220" s="7">
        <f t="shared" si="6"/>
        <v>6.4574299999999996</v>
      </c>
      <c r="H220" s="7">
        <f t="shared" si="7"/>
        <v>9.6861449999999988E-2</v>
      </c>
    </row>
    <row r="221" spans="1:8" ht="15" customHeight="1" x14ac:dyDescent="0.2">
      <c r="A221" s="4" t="s">
        <v>328</v>
      </c>
      <c r="B221" s="4" t="s">
        <v>7</v>
      </c>
      <c r="C221" s="4" t="s">
        <v>115</v>
      </c>
      <c r="D221" s="4">
        <v>20007</v>
      </c>
      <c r="E221" s="6">
        <v>45747</v>
      </c>
      <c r="F221" s="7">
        <v>5.781142</v>
      </c>
      <c r="G221" s="7">
        <f t="shared" si="6"/>
        <v>5.781142</v>
      </c>
      <c r="H221" s="7">
        <f t="shared" si="7"/>
        <v>8.6717130000000003E-2</v>
      </c>
    </row>
    <row r="222" spans="1:8" ht="15" customHeight="1" x14ac:dyDescent="0.2">
      <c r="A222" s="4" t="s">
        <v>328</v>
      </c>
      <c r="B222" s="4" t="s">
        <v>7</v>
      </c>
      <c r="C222" s="4" t="s">
        <v>116</v>
      </c>
      <c r="D222" s="4">
        <v>20007</v>
      </c>
      <c r="E222" s="6">
        <v>45747</v>
      </c>
      <c r="F222" s="7">
        <v>114.0947</v>
      </c>
      <c r="G222" s="7">
        <f t="shared" si="6"/>
        <v>114.0947</v>
      </c>
      <c r="H222" s="7">
        <f t="shared" si="7"/>
        <v>1.7114205</v>
      </c>
    </row>
    <row r="223" spans="1:8" ht="15" customHeight="1" x14ac:dyDescent="0.2">
      <c r="A223" s="4" t="s">
        <v>328</v>
      </c>
      <c r="B223" s="4" t="s">
        <v>7</v>
      </c>
      <c r="C223" s="4" t="s">
        <v>117</v>
      </c>
      <c r="D223" s="4">
        <v>20007</v>
      </c>
      <c r="E223" s="6">
        <v>45747</v>
      </c>
      <c r="F223" s="7">
        <v>252.65969999999999</v>
      </c>
      <c r="G223" s="7">
        <f t="shared" si="6"/>
        <v>252.65969999999999</v>
      </c>
      <c r="H223" s="7">
        <f t="shared" si="7"/>
        <v>3.7898954999999996</v>
      </c>
    </row>
    <row r="224" spans="1:8" ht="15" customHeight="1" x14ac:dyDescent="0.2">
      <c r="A224" s="4" t="s">
        <v>328</v>
      </c>
      <c r="B224" s="4" t="s">
        <v>7</v>
      </c>
      <c r="C224" s="4" t="s">
        <v>118</v>
      </c>
      <c r="D224" s="4">
        <v>20007</v>
      </c>
      <c r="E224" s="6">
        <v>45747</v>
      </c>
      <c r="F224" s="7">
        <v>13.643969999999999</v>
      </c>
      <c r="G224" s="7">
        <f t="shared" si="6"/>
        <v>13.643969999999999</v>
      </c>
      <c r="H224" s="7">
        <f t="shared" si="7"/>
        <v>0.20465955</v>
      </c>
    </row>
    <row r="225" spans="1:8" ht="15" customHeight="1" x14ac:dyDescent="0.2">
      <c r="A225" s="4" t="s">
        <v>328</v>
      </c>
      <c r="B225" s="4" t="s">
        <v>7</v>
      </c>
      <c r="C225" s="4" t="s">
        <v>119</v>
      </c>
      <c r="D225" s="4">
        <v>20007</v>
      </c>
      <c r="E225" s="6">
        <v>45747</v>
      </c>
      <c r="F225" s="7">
        <v>21.904599999999999</v>
      </c>
      <c r="G225" s="7">
        <f t="shared" si="6"/>
        <v>21.904599999999999</v>
      </c>
      <c r="H225" s="7">
        <f t="shared" si="7"/>
        <v>0.32856899999999994</v>
      </c>
    </row>
    <row r="226" spans="1:8" ht="15" customHeight="1" x14ac:dyDescent="0.2">
      <c r="A226" s="4" t="s">
        <v>328</v>
      </c>
      <c r="B226" s="4" t="s">
        <v>7</v>
      </c>
      <c r="C226" s="4" t="s">
        <v>120</v>
      </c>
      <c r="D226" s="4">
        <v>20007</v>
      </c>
      <c r="E226" s="6">
        <v>45747</v>
      </c>
      <c r="F226" s="7">
        <v>161.87860000000001</v>
      </c>
      <c r="G226" s="7">
        <f t="shared" si="6"/>
        <v>161.87860000000001</v>
      </c>
      <c r="H226" s="7">
        <f t="shared" si="7"/>
        <v>2.4281790000000001</v>
      </c>
    </row>
    <row r="227" spans="1:8" ht="15" customHeight="1" x14ac:dyDescent="0.2">
      <c r="A227" s="4" t="s">
        <v>328</v>
      </c>
      <c r="B227" s="4" t="s">
        <v>7</v>
      </c>
      <c r="C227" s="4" t="s">
        <v>121</v>
      </c>
      <c r="D227" s="4">
        <v>20007</v>
      </c>
      <c r="E227" s="6">
        <v>45747</v>
      </c>
      <c r="F227" s="7">
        <v>10.305</v>
      </c>
      <c r="G227" s="7">
        <f t="shared" si="6"/>
        <v>10.305</v>
      </c>
      <c r="H227" s="7">
        <f t="shared" si="7"/>
        <v>0.15457499999999999</v>
      </c>
    </row>
    <row r="228" spans="1:8" ht="15" customHeight="1" x14ac:dyDescent="0.2">
      <c r="A228" s="4" t="s">
        <v>328</v>
      </c>
      <c r="B228" s="4" t="s">
        <v>7</v>
      </c>
      <c r="C228" s="4" t="s">
        <v>122</v>
      </c>
      <c r="D228" s="4">
        <v>20007</v>
      </c>
      <c r="E228" s="6">
        <v>45747</v>
      </c>
      <c r="F228" s="7">
        <v>86.555340000000001</v>
      </c>
      <c r="G228" s="7">
        <f t="shared" si="6"/>
        <v>86.555340000000001</v>
      </c>
      <c r="H228" s="7">
        <f t="shared" si="7"/>
        <v>1.2983301</v>
      </c>
    </row>
    <row r="229" spans="1:8" ht="15" customHeight="1" x14ac:dyDescent="0.2">
      <c r="A229" s="4" t="s">
        <v>328</v>
      </c>
      <c r="B229" s="4" t="s">
        <v>7</v>
      </c>
      <c r="C229" s="4" t="s">
        <v>123</v>
      </c>
      <c r="D229" s="4">
        <v>20007</v>
      </c>
      <c r="E229" s="6">
        <v>45747</v>
      </c>
      <c r="F229" s="7">
        <v>92.119900000000001</v>
      </c>
      <c r="G229" s="7">
        <f t="shared" si="6"/>
        <v>92.119900000000001</v>
      </c>
      <c r="H229" s="7">
        <f t="shared" si="7"/>
        <v>1.3817984999999999</v>
      </c>
    </row>
    <row r="230" spans="1:8" ht="15" customHeight="1" x14ac:dyDescent="0.2">
      <c r="A230" s="4" t="s">
        <v>328</v>
      </c>
      <c r="B230" s="4" t="s">
        <v>7</v>
      </c>
      <c r="C230" s="4" t="s">
        <v>124</v>
      </c>
      <c r="D230" s="4">
        <v>20007</v>
      </c>
      <c r="E230" s="6">
        <v>45747</v>
      </c>
      <c r="F230" s="7">
        <v>41.471739999999997</v>
      </c>
      <c r="G230" s="7">
        <f t="shared" si="6"/>
        <v>41.471739999999997</v>
      </c>
      <c r="H230" s="7">
        <f t="shared" si="7"/>
        <v>0.62207609999999991</v>
      </c>
    </row>
    <row r="231" spans="1:8" ht="15" customHeight="1" x14ac:dyDescent="0.2">
      <c r="A231" s="4" t="s">
        <v>328</v>
      </c>
      <c r="B231" s="4" t="s">
        <v>7</v>
      </c>
      <c r="C231" s="4" t="s">
        <v>125</v>
      </c>
      <c r="D231" s="4">
        <v>20007</v>
      </c>
      <c r="E231" s="6">
        <v>45747</v>
      </c>
      <c r="F231" s="7">
        <v>68.065299999999993</v>
      </c>
      <c r="G231" s="7">
        <f t="shared" si="6"/>
        <v>68.065299999999993</v>
      </c>
      <c r="H231" s="7">
        <f t="shared" si="7"/>
        <v>1.0209794999999999</v>
      </c>
    </row>
    <row r="232" spans="1:8" ht="15" customHeight="1" x14ac:dyDescent="0.2">
      <c r="A232" s="4" t="s">
        <v>328</v>
      </c>
      <c r="B232" s="4" t="s">
        <v>7</v>
      </c>
      <c r="C232" s="4" t="s">
        <v>126</v>
      </c>
      <c r="D232" s="4">
        <v>20007</v>
      </c>
      <c r="E232" s="6">
        <v>45747</v>
      </c>
      <c r="F232" s="7">
        <v>88.863740000000007</v>
      </c>
      <c r="G232" s="7">
        <f t="shared" si="6"/>
        <v>88.863740000000007</v>
      </c>
      <c r="H232" s="7">
        <f t="shared" si="7"/>
        <v>1.3329561000000001</v>
      </c>
    </row>
    <row r="233" spans="1:8" ht="15" customHeight="1" x14ac:dyDescent="0.2">
      <c r="A233" s="4" t="s">
        <v>328</v>
      </c>
      <c r="B233" s="4" t="s">
        <v>7</v>
      </c>
      <c r="C233" s="4" t="s">
        <v>127</v>
      </c>
      <c r="D233" s="4">
        <v>20007</v>
      </c>
      <c r="E233" s="6">
        <v>45747</v>
      </c>
      <c r="F233" s="7">
        <v>0.39700000000000002</v>
      </c>
      <c r="G233" s="7">
        <f t="shared" si="6"/>
        <v>0.39700000000000002</v>
      </c>
      <c r="H233" s="7">
        <f t="shared" si="7"/>
        <v>5.9550000000000002E-3</v>
      </c>
    </row>
    <row r="234" spans="1:8" ht="15" customHeight="1" x14ac:dyDescent="0.2">
      <c r="A234" s="4" t="s">
        <v>328</v>
      </c>
      <c r="B234" s="4" t="s">
        <v>7</v>
      </c>
      <c r="C234" s="4" t="s">
        <v>128</v>
      </c>
      <c r="D234" s="4">
        <v>20007</v>
      </c>
      <c r="E234" s="6">
        <v>45747</v>
      </c>
      <c r="F234" s="7">
        <v>11.4133</v>
      </c>
      <c r="G234" s="7">
        <f t="shared" si="6"/>
        <v>11.4133</v>
      </c>
      <c r="H234" s="7">
        <f t="shared" si="7"/>
        <v>0.17119949999999998</v>
      </c>
    </row>
    <row r="235" spans="1:8" ht="15" customHeight="1" x14ac:dyDescent="0.2">
      <c r="A235" s="4" t="s">
        <v>328</v>
      </c>
      <c r="B235" s="4" t="s">
        <v>7</v>
      </c>
      <c r="C235" s="4" t="s">
        <v>129</v>
      </c>
      <c r="D235" s="4">
        <v>20007</v>
      </c>
      <c r="E235" s="6">
        <v>45747</v>
      </c>
      <c r="F235" s="7">
        <v>204.8536</v>
      </c>
      <c r="G235" s="7">
        <f t="shared" si="6"/>
        <v>204.8536</v>
      </c>
      <c r="H235" s="7">
        <f t="shared" si="7"/>
        <v>3.0728040000000001</v>
      </c>
    </row>
    <row r="236" spans="1:8" ht="15" customHeight="1" x14ac:dyDescent="0.2">
      <c r="A236" s="4" t="s">
        <v>328</v>
      </c>
      <c r="B236" s="4" t="s">
        <v>7</v>
      </c>
      <c r="C236" s="4" t="s">
        <v>130</v>
      </c>
      <c r="D236" s="4">
        <v>20007</v>
      </c>
      <c r="E236" s="6">
        <v>45747</v>
      </c>
      <c r="F236" s="7">
        <v>865.93169999999998</v>
      </c>
      <c r="G236" s="7">
        <f t="shared" si="6"/>
        <v>865.93169999999998</v>
      </c>
      <c r="H236" s="7">
        <f t="shared" si="7"/>
        <v>12.988975499999999</v>
      </c>
    </row>
    <row r="237" spans="1:8" ht="15" customHeight="1" x14ac:dyDescent="0.2">
      <c r="A237" s="4" t="s">
        <v>328</v>
      </c>
      <c r="B237" s="4" t="s">
        <v>7</v>
      </c>
      <c r="C237" s="4" t="s">
        <v>346</v>
      </c>
      <c r="D237" s="4">
        <v>20007</v>
      </c>
      <c r="E237" s="6">
        <v>45747</v>
      </c>
      <c r="F237" s="7">
        <v>0.35735800000000001</v>
      </c>
      <c r="G237" s="7">
        <f t="shared" si="6"/>
        <v>0.35735800000000001</v>
      </c>
      <c r="H237" s="7">
        <f t="shared" si="7"/>
        <v>5.3603699999999997E-3</v>
      </c>
    </row>
    <row r="238" spans="1:8" ht="15" customHeight="1" x14ac:dyDescent="0.2">
      <c r="A238" s="4" t="s">
        <v>328</v>
      </c>
      <c r="B238" s="4" t="s">
        <v>7</v>
      </c>
      <c r="C238" s="4" t="s">
        <v>131</v>
      </c>
      <c r="D238" s="4">
        <v>20007</v>
      </c>
      <c r="E238" s="6">
        <v>45747</v>
      </c>
      <c r="F238" s="7">
        <v>25.2745</v>
      </c>
      <c r="G238" s="7">
        <f t="shared" si="6"/>
        <v>25.2745</v>
      </c>
      <c r="H238" s="7">
        <f t="shared" si="7"/>
        <v>0.3791175</v>
      </c>
    </row>
    <row r="239" spans="1:8" ht="15" customHeight="1" x14ac:dyDescent="0.2">
      <c r="A239" s="4" t="s">
        <v>328</v>
      </c>
      <c r="B239" s="4" t="s">
        <v>7</v>
      </c>
      <c r="C239" s="4" t="s">
        <v>132</v>
      </c>
      <c r="D239" s="4">
        <v>20007</v>
      </c>
      <c r="E239" s="6">
        <v>45747</v>
      </c>
      <c r="F239" s="7">
        <v>13.90005</v>
      </c>
      <c r="G239" s="7">
        <f t="shared" si="6"/>
        <v>13.90005</v>
      </c>
      <c r="H239" s="7">
        <f t="shared" si="7"/>
        <v>0.20850074999999998</v>
      </c>
    </row>
    <row r="240" spans="1:8" ht="15" customHeight="1" x14ac:dyDescent="0.2">
      <c r="A240" s="4" t="s">
        <v>328</v>
      </c>
      <c r="B240" s="4" t="s">
        <v>7</v>
      </c>
      <c r="C240" s="4" t="s">
        <v>133</v>
      </c>
      <c r="D240" s="4">
        <v>20007</v>
      </c>
      <c r="E240" s="6">
        <v>45747</v>
      </c>
      <c r="F240" s="7">
        <v>14.9514</v>
      </c>
      <c r="G240" s="7">
        <f t="shared" si="6"/>
        <v>14.9514</v>
      </c>
      <c r="H240" s="7">
        <f t="shared" si="7"/>
        <v>0.224271</v>
      </c>
    </row>
    <row r="241" spans="1:8" ht="15" customHeight="1" x14ac:dyDescent="0.2">
      <c r="A241" s="4" t="s">
        <v>328</v>
      </c>
      <c r="B241" s="4" t="s">
        <v>7</v>
      </c>
      <c r="C241" s="4" t="s">
        <v>134</v>
      </c>
      <c r="D241" s="4">
        <v>20007</v>
      </c>
      <c r="E241" s="6">
        <v>45747</v>
      </c>
      <c r="F241" s="7">
        <v>84.992000000000004</v>
      </c>
      <c r="G241" s="7">
        <f t="shared" si="6"/>
        <v>84.992000000000004</v>
      </c>
      <c r="H241" s="7">
        <f t="shared" si="7"/>
        <v>1.27488</v>
      </c>
    </row>
    <row r="242" spans="1:8" ht="15" customHeight="1" x14ac:dyDescent="0.2">
      <c r="A242" s="4" t="s">
        <v>328</v>
      </c>
      <c r="B242" s="4" t="s">
        <v>7</v>
      </c>
      <c r="C242" s="4" t="s">
        <v>135</v>
      </c>
      <c r="D242" s="4">
        <v>20007</v>
      </c>
      <c r="E242" s="6">
        <v>45747</v>
      </c>
      <c r="F242" s="7">
        <v>8.1050000000000004</v>
      </c>
      <c r="G242" s="7">
        <f t="shared" si="6"/>
        <v>8.1050000000000004</v>
      </c>
      <c r="H242" s="7">
        <f t="shared" si="7"/>
        <v>0.121575</v>
      </c>
    </row>
    <row r="243" spans="1:8" ht="15" customHeight="1" x14ac:dyDescent="0.2">
      <c r="A243" s="4" t="s">
        <v>328</v>
      </c>
      <c r="B243" s="4" t="s">
        <v>7</v>
      </c>
      <c r="C243" s="4" t="s">
        <v>136</v>
      </c>
      <c r="D243" s="4">
        <v>20007</v>
      </c>
      <c r="E243" s="6">
        <v>45747</v>
      </c>
      <c r="F243" s="7">
        <v>38.012</v>
      </c>
      <c r="G243" s="7">
        <f t="shared" si="6"/>
        <v>38.012</v>
      </c>
      <c r="H243" s="7">
        <f t="shared" si="7"/>
        <v>0.57018000000000002</v>
      </c>
    </row>
    <row r="244" spans="1:8" ht="15" customHeight="1" x14ac:dyDescent="0.2">
      <c r="A244" s="4" t="s">
        <v>328</v>
      </c>
      <c r="B244" s="4" t="s">
        <v>7</v>
      </c>
      <c r="C244" s="4" t="s">
        <v>137</v>
      </c>
      <c r="D244" s="4">
        <v>20007</v>
      </c>
      <c r="E244" s="6">
        <v>45747</v>
      </c>
      <c r="F244" s="7">
        <v>6.3462500000000004</v>
      </c>
      <c r="G244" s="7">
        <f t="shared" si="6"/>
        <v>6.3462500000000004</v>
      </c>
      <c r="H244" s="7">
        <f t="shared" si="7"/>
        <v>9.5193750000000008E-2</v>
      </c>
    </row>
    <row r="245" spans="1:8" ht="15" customHeight="1" x14ac:dyDescent="0.2">
      <c r="A245" s="4" t="s">
        <v>328</v>
      </c>
      <c r="B245" s="4" t="s">
        <v>7</v>
      </c>
      <c r="C245" s="4" t="s">
        <v>138</v>
      </c>
      <c r="D245" s="4">
        <v>20007</v>
      </c>
      <c r="E245" s="6">
        <v>45747</v>
      </c>
      <c r="F245" s="7">
        <v>24.583600000000001</v>
      </c>
      <c r="G245" s="7">
        <f t="shared" si="6"/>
        <v>24.583600000000001</v>
      </c>
      <c r="H245" s="7">
        <f t="shared" si="7"/>
        <v>0.36875399999999997</v>
      </c>
    </row>
    <row r="246" spans="1:8" ht="15" customHeight="1" x14ac:dyDescent="0.2">
      <c r="A246" s="4" t="s">
        <v>328</v>
      </c>
      <c r="B246" s="4" t="s">
        <v>7</v>
      </c>
      <c r="C246" s="4" t="s">
        <v>139</v>
      </c>
      <c r="D246" s="4">
        <v>20007</v>
      </c>
      <c r="E246" s="6">
        <v>45747</v>
      </c>
      <c r="F246" s="7">
        <v>9.9250000000000007</v>
      </c>
      <c r="G246" s="7">
        <f t="shared" si="6"/>
        <v>9.9250000000000007</v>
      </c>
      <c r="H246" s="7">
        <f t="shared" si="7"/>
        <v>0.14887500000000001</v>
      </c>
    </row>
    <row r="247" spans="1:8" ht="15" customHeight="1" x14ac:dyDescent="0.2">
      <c r="A247" s="4" t="s">
        <v>328</v>
      </c>
      <c r="B247" s="4" t="s">
        <v>7</v>
      </c>
      <c r="C247" s="4" t="s">
        <v>140</v>
      </c>
      <c r="D247" s="4">
        <v>20007</v>
      </c>
      <c r="E247" s="6">
        <v>45747</v>
      </c>
      <c r="F247" s="7">
        <v>243.42089999999999</v>
      </c>
      <c r="G247" s="7">
        <f t="shared" si="6"/>
        <v>243.42089999999999</v>
      </c>
      <c r="H247" s="7">
        <f t="shared" si="7"/>
        <v>3.6513134999999997</v>
      </c>
    </row>
    <row r="248" spans="1:8" ht="15" customHeight="1" x14ac:dyDescent="0.2">
      <c r="A248" s="4" t="s">
        <v>328</v>
      </c>
      <c r="B248" s="4" t="s">
        <v>7</v>
      </c>
      <c r="C248" s="4" t="s">
        <v>141</v>
      </c>
      <c r="D248" s="4">
        <v>20007</v>
      </c>
      <c r="E248" s="6">
        <v>45747</v>
      </c>
      <c r="F248" s="7">
        <v>142.36439999999999</v>
      </c>
      <c r="G248" s="7">
        <f t="shared" si="6"/>
        <v>142.36439999999999</v>
      </c>
      <c r="H248" s="7">
        <f t="shared" si="7"/>
        <v>2.1354659999999996</v>
      </c>
    </row>
    <row r="249" spans="1:8" ht="15" customHeight="1" x14ac:dyDescent="0.2">
      <c r="A249" s="4" t="s">
        <v>328</v>
      </c>
      <c r="B249" s="4" t="s">
        <v>7</v>
      </c>
      <c r="C249" s="4" t="s">
        <v>142</v>
      </c>
      <c r="D249" s="4">
        <v>20007</v>
      </c>
      <c r="E249" s="6">
        <v>45747</v>
      </c>
      <c r="F249" s="7">
        <v>34.833750000000002</v>
      </c>
      <c r="G249" s="7">
        <f t="shared" si="6"/>
        <v>34.833750000000002</v>
      </c>
      <c r="H249" s="7">
        <f t="shared" si="7"/>
        <v>0.52250625000000006</v>
      </c>
    </row>
    <row r="250" spans="1:8" ht="15" customHeight="1" x14ac:dyDescent="0.2">
      <c r="A250" s="4" t="s">
        <v>328</v>
      </c>
      <c r="B250" s="4" t="s">
        <v>7</v>
      </c>
      <c r="C250" s="4" t="s">
        <v>143</v>
      </c>
      <c r="D250" s="4">
        <v>20007</v>
      </c>
      <c r="E250" s="6">
        <v>45747</v>
      </c>
      <c r="F250" s="7">
        <v>2.33975</v>
      </c>
      <c r="G250" s="7">
        <f t="shared" si="6"/>
        <v>2.33975</v>
      </c>
      <c r="H250" s="7">
        <f t="shared" si="7"/>
        <v>3.5096249999999996E-2</v>
      </c>
    </row>
    <row r="251" spans="1:8" ht="15" customHeight="1" x14ac:dyDescent="0.2">
      <c r="A251" s="4" t="s">
        <v>328</v>
      </c>
      <c r="B251" s="4" t="s">
        <v>7</v>
      </c>
      <c r="C251" s="4" t="s">
        <v>144</v>
      </c>
      <c r="D251" s="4">
        <v>20007</v>
      </c>
      <c r="E251" s="6">
        <v>45747</v>
      </c>
      <c r="F251" s="7">
        <v>7.1963999999999997</v>
      </c>
      <c r="G251" s="7">
        <f t="shared" ref="G251:G312" si="8">F251</f>
        <v>7.1963999999999997</v>
      </c>
      <c r="H251" s="7">
        <f t="shared" ref="H251:H312" si="9">G251*0.015</f>
        <v>0.10794599999999999</v>
      </c>
    </row>
    <row r="252" spans="1:8" ht="15" customHeight="1" x14ac:dyDescent="0.2">
      <c r="A252" s="4" t="s">
        <v>328</v>
      </c>
      <c r="B252" s="4" t="s">
        <v>7</v>
      </c>
      <c r="C252" s="4" t="s">
        <v>145</v>
      </c>
      <c r="D252" s="4">
        <v>20007</v>
      </c>
      <c r="E252" s="6">
        <v>45747</v>
      </c>
      <c r="F252" s="7">
        <v>1.8089919999999999</v>
      </c>
      <c r="G252" s="7">
        <f t="shared" si="8"/>
        <v>1.8089919999999999</v>
      </c>
      <c r="H252" s="7">
        <f t="shared" si="9"/>
        <v>2.7134879999999997E-2</v>
      </c>
    </row>
    <row r="253" spans="1:8" ht="15" customHeight="1" x14ac:dyDescent="0.2">
      <c r="A253" s="4" t="s">
        <v>328</v>
      </c>
      <c r="B253" s="4" t="s">
        <v>7</v>
      </c>
      <c r="C253" s="4" t="s">
        <v>146</v>
      </c>
      <c r="D253" s="4">
        <v>20007</v>
      </c>
      <c r="E253" s="6">
        <v>45747</v>
      </c>
      <c r="F253" s="7">
        <v>28.946280000000002</v>
      </c>
      <c r="G253" s="7">
        <f t="shared" si="8"/>
        <v>28.946280000000002</v>
      </c>
      <c r="H253" s="7">
        <f t="shared" si="9"/>
        <v>0.43419420000000003</v>
      </c>
    </row>
    <row r="254" spans="1:8" ht="15" customHeight="1" x14ac:dyDescent="0.2">
      <c r="A254" s="4" t="s">
        <v>328</v>
      </c>
      <c r="B254" s="4" t="s">
        <v>7</v>
      </c>
      <c r="C254" s="4" t="s">
        <v>147</v>
      </c>
      <c r="D254" s="4">
        <v>20007</v>
      </c>
      <c r="E254" s="6">
        <v>45747</v>
      </c>
      <c r="F254" s="7">
        <v>25.703510000000001</v>
      </c>
      <c r="G254" s="7">
        <f t="shared" si="8"/>
        <v>25.703510000000001</v>
      </c>
      <c r="H254" s="7">
        <f t="shared" si="9"/>
        <v>0.38555265</v>
      </c>
    </row>
    <row r="255" spans="1:8" ht="15" customHeight="1" x14ac:dyDescent="0.2">
      <c r="A255" s="4" t="s">
        <v>328</v>
      </c>
      <c r="B255" s="4" t="s">
        <v>7</v>
      </c>
      <c r="C255" s="4" t="s">
        <v>148</v>
      </c>
      <c r="D255" s="4">
        <v>20007</v>
      </c>
      <c r="E255" s="6">
        <v>45747</v>
      </c>
      <c r="F255" s="7">
        <v>2.14</v>
      </c>
      <c r="G255" s="7">
        <f t="shared" si="8"/>
        <v>2.14</v>
      </c>
      <c r="H255" s="7">
        <f t="shared" si="9"/>
        <v>3.2100000000000004E-2</v>
      </c>
    </row>
    <row r="256" spans="1:8" ht="15" customHeight="1" x14ac:dyDescent="0.2">
      <c r="A256" s="4" t="s">
        <v>328</v>
      </c>
      <c r="B256" s="4" t="s">
        <v>7</v>
      </c>
      <c r="C256" s="4" t="s">
        <v>149</v>
      </c>
      <c r="D256" s="4">
        <v>20007</v>
      </c>
      <c r="E256" s="6">
        <v>45747</v>
      </c>
      <c r="F256" s="7">
        <v>12.291499999999999</v>
      </c>
      <c r="G256" s="7">
        <f t="shared" si="8"/>
        <v>12.291499999999999</v>
      </c>
      <c r="H256" s="7">
        <f t="shared" si="9"/>
        <v>0.18437249999999999</v>
      </c>
    </row>
    <row r="257" spans="1:8" ht="15" customHeight="1" x14ac:dyDescent="0.2">
      <c r="A257" s="4" t="s">
        <v>328</v>
      </c>
      <c r="B257" s="4" t="s">
        <v>7</v>
      </c>
      <c r="C257" s="4" t="s">
        <v>150</v>
      </c>
      <c r="D257" s="4">
        <v>20007</v>
      </c>
      <c r="E257" s="6">
        <v>45747</v>
      </c>
      <c r="F257" s="7">
        <v>12.87825</v>
      </c>
      <c r="G257" s="7">
        <f t="shared" si="8"/>
        <v>12.87825</v>
      </c>
      <c r="H257" s="7">
        <f t="shared" si="9"/>
        <v>0.19317374999999998</v>
      </c>
    </row>
    <row r="258" spans="1:8" ht="15" customHeight="1" x14ac:dyDescent="0.2">
      <c r="A258" s="4" t="s">
        <v>328</v>
      </c>
      <c r="B258" s="4" t="s">
        <v>7</v>
      </c>
      <c r="C258" s="4" t="s">
        <v>151</v>
      </c>
      <c r="D258" s="4">
        <v>20007</v>
      </c>
      <c r="E258" s="6">
        <v>45747</v>
      </c>
      <c r="F258" s="7">
        <v>3679.636</v>
      </c>
      <c r="G258" s="7">
        <f t="shared" si="8"/>
        <v>3679.636</v>
      </c>
      <c r="H258" s="7">
        <f t="shared" si="9"/>
        <v>55.194539999999996</v>
      </c>
    </row>
    <row r="259" spans="1:8" ht="15" customHeight="1" x14ac:dyDescent="0.2">
      <c r="A259" s="4" t="s">
        <v>328</v>
      </c>
      <c r="B259" s="4" t="s">
        <v>7</v>
      </c>
      <c r="C259" s="4" t="s">
        <v>152</v>
      </c>
      <c r="D259" s="4">
        <v>20007</v>
      </c>
      <c r="E259" s="6">
        <v>45747</v>
      </c>
      <c r="F259" s="7">
        <v>4285.3620000000001</v>
      </c>
      <c r="G259" s="7">
        <f t="shared" si="8"/>
        <v>4285.3620000000001</v>
      </c>
      <c r="H259" s="7">
        <f t="shared" si="9"/>
        <v>64.280429999999996</v>
      </c>
    </row>
    <row r="260" spans="1:8" ht="15" customHeight="1" x14ac:dyDescent="0.2">
      <c r="A260" s="4" t="s">
        <v>328</v>
      </c>
      <c r="B260" s="4" t="s">
        <v>7</v>
      </c>
      <c r="C260" s="4" t="s">
        <v>153</v>
      </c>
      <c r="D260" s="4">
        <v>20007</v>
      </c>
      <c r="E260" s="6">
        <v>45747</v>
      </c>
      <c r="F260" s="7">
        <v>302.24329999999998</v>
      </c>
      <c r="G260" s="7">
        <f t="shared" si="8"/>
        <v>302.24329999999998</v>
      </c>
      <c r="H260" s="7">
        <f t="shared" si="9"/>
        <v>4.5336494999999992</v>
      </c>
    </row>
    <row r="261" spans="1:8" ht="15" customHeight="1" x14ac:dyDescent="0.2">
      <c r="A261" s="4" t="s">
        <v>328</v>
      </c>
      <c r="B261" s="4" t="s">
        <v>7</v>
      </c>
      <c r="C261" s="4" t="s">
        <v>182</v>
      </c>
      <c r="D261" s="4">
        <v>20007</v>
      </c>
      <c r="E261" s="6">
        <v>45747</v>
      </c>
      <c r="F261" s="7">
        <v>191.70689999999999</v>
      </c>
      <c r="G261" s="7">
        <f t="shared" si="8"/>
        <v>191.70689999999999</v>
      </c>
      <c r="H261" s="7">
        <f t="shared" si="9"/>
        <v>2.8756034999999995</v>
      </c>
    </row>
    <row r="262" spans="1:8" ht="15" customHeight="1" x14ac:dyDescent="0.2">
      <c r="A262" s="4" t="s">
        <v>328</v>
      </c>
      <c r="B262" s="4" t="s">
        <v>7</v>
      </c>
      <c r="C262" s="4" t="s">
        <v>183</v>
      </c>
      <c r="D262" s="4">
        <v>20007</v>
      </c>
      <c r="E262" s="6">
        <v>45747</v>
      </c>
      <c r="F262" s="7">
        <v>0.69102399999999997</v>
      </c>
      <c r="G262" s="7">
        <f t="shared" si="8"/>
        <v>0.69102399999999997</v>
      </c>
      <c r="H262" s="7">
        <f t="shared" si="9"/>
        <v>1.0365359999999999E-2</v>
      </c>
    </row>
    <row r="263" spans="1:8" ht="15" customHeight="1" x14ac:dyDescent="0.2">
      <c r="A263" s="4" t="s">
        <v>328</v>
      </c>
      <c r="B263" s="4" t="s">
        <v>7</v>
      </c>
      <c r="C263" s="4" t="s">
        <v>156</v>
      </c>
      <c r="D263" s="4">
        <v>20007</v>
      </c>
      <c r="E263" s="6">
        <v>45747</v>
      </c>
      <c r="F263" s="7">
        <v>1.52752</v>
      </c>
      <c r="G263" s="7">
        <f t="shared" si="8"/>
        <v>1.52752</v>
      </c>
      <c r="H263" s="7">
        <f t="shared" si="9"/>
        <v>2.2912800000000001E-2</v>
      </c>
    </row>
    <row r="264" spans="1:8" ht="15" customHeight="1" x14ac:dyDescent="0.2">
      <c r="A264" s="4" t="s">
        <v>328</v>
      </c>
      <c r="B264" s="4" t="s">
        <v>7</v>
      </c>
      <c r="C264" s="4" t="s">
        <v>347</v>
      </c>
      <c r="D264" s="4">
        <v>20007</v>
      </c>
      <c r="E264" s="6">
        <v>45747</v>
      </c>
      <c r="F264" s="7">
        <v>2.7709999999999999</v>
      </c>
      <c r="G264" s="7">
        <f t="shared" si="8"/>
        <v>2.7709999999999999</v>
      </c>
      <c r="H264" s="7">
        <f t="shared" si="9"/>
        <v>4.1564999999999998E-2</v>
      </c>
    </row>
    <row r="265" spans="1:8" ht="15" customHeight="1" x14ac:dyDescent="0.2">
      <c r="A265" s="4" t="s">
        <v>328</v>
      </c>
      <c r="B265" s="4" t="s">
        <v>7</v>
      </c>
      <c r="C265" s="4" t="s">
        <v>157</v>
      </c>
      <c r="D265" s="4">
        <v>20007</v>
      </c>
      <c r="E265" s="6">
        <v>45747</v>
      </c>
      <c r="F265" s="7">
        <v>5.9969349999999997</v>
      </c>
      <c r="G265" s="7">
        <f t="shared" si="8"/>
        <v>5.9969349999999997</v>
      </c>
      <c r="H265" s="7">
        <f t="shared" si="9"/>
        <v>8.9954024999999993E-2</v>
      </c>
    </row>
    <row r="266" spans="1:8" ht="15" customHeight="1" x14ac:dyDescent="0.2">
      <c r="A266" s="4" t="s">
        <v>328</v>
      </c>
      <c r="B266" s="4" t="s">
        <v>7</v>
      </c>
      <c r="C266" s="4" t="s">
        <v>158</v>
      </c>
      <c r="D266" s="4">
        <v>20007</v>
      </c>
      <c r="E266" s="6">
        <v>45747</v>
      </c>
      <c r="F266" s="7">
        <v>2.7020499999999998</v>
      </c>
      <c r="G266" s="7">
        <f t="shared" si="8"/>
        <v>2.7020499999999998</v>
      </c>
      <c r="H266" s="7">
        <f t="shared" si="9"/>
        <v>4.0530749999999997E-2</v>
      </c>
    </row>
    <row r="267" spans="1:8" ht="15" customHeight="1" x14ac:dyDescent="0.2">
      <c r="A267" s="4" t="s">
        <v>328</v>
      </c>
      <c r="B267" s="4" t="s">
        <v>7</v>
      </c>
      <c r="C267" s="4" t="s">
        <v>159</v>
      </c>
      <c r="D267" s="4">
        <v>20007</v>
      </c>
      <c r="E267" s="6">
        <v>45747</v>
      </c>
      <c r="F267" s="7">
        <v>13.736499999999999</v>
      </c>
      <c r="G267" s="7">
        <f t="shared" si="8"/>
        <v>13.736499999999999</v>
      </c>
      <c r="H267" s="7">
        <f t="shared" si="9"/>
        <v>0.20604749999999999</v>
      </c>
    </row>
    <row r="268" spans="1:8" ht="15" customHeight="1" x14ac:dyDescent="0.2">
      <c r="A268" s="4" t="s">
        <v>328</v>
      </c>
      <c r="B268" s="4" t="s">
        <v>7</v>
      </c>
      <c r="C268" s="4" t="s">
        <v>160</v>
      </c>
      <c r="D268" s="4">
        <v>20007</v>
      </c>
      <c r="E268" s="6">
        <v>45747</v>
      </c>
      <c r="F268" s="7">
        <v>17.7791</v>
      </c>
      <c r="G268" s="7">
        <f t="shared" si="8"/>
        <v>17.7791</v>
      </c>
      <c r="H268" s="7">
        <f t="shared" si="9"/>
        <v>0.26668649999999999</v>
      </c>
    </row>
    <row r="269" spans="1:8" ht="15" customHeight="1" x14ac:dyDescent="0.2">
      <c r="A269" s="4" t="s">
        <v>328</v>
      </c>
      <c r="B269" s="4" t="s">
        <v>7</v>
      </c>
      <c r="C269" s="4" t="s">
        <v>161</v>
      </c>
      <c r="D269" s="4">
        <v>20007</v>
      </c>
      <c r="E269" s="6">
        <v>45747</v>
      </c>
      <c r="F269" s="7">
        <v>13.0456</v>
      </c>
      <c r="G269" s="7">
        <f t="shared" si="8"/>
        <v>13.0456</v>
      </c>
      <c r="H269" s="7">
        <f t="shared" si="9"/>
        <v>0.195684</v>
      </c>
    </row>
    <row r="270" spans="1:8" ht="15" customHeight="1" x14ac:dyDescent="0.2">
      <c r="A270" s="4" t="s">
        <v>328</v>
      </c>
      <c r="B270" s="4" t="s">
        <v>7</v>
      </c>
      <c r="C270" s="4" t="s">
        <v>162</v>
      </c>
      <c r="D270" s="4">
        <v>20007</v>
      </c>
      <c r="E270" s="6">
        <v>45747</v>
      </c>
      <c r="F270" s="7">
        <v>0.36335000000000001</v>
      </c>
      <c r="G270" s="7">
        <f t="shared" si="8"/>
        <v>0.36335000000000001</v>
      </c>
      <c r="H270" s="7">
        <f t="shared" si="9"/>
        <v>5.4502500000000002E-3</v>
      </c>
    </row>
    <row r="271" spans="1:8" ht="15" customHeight="1" x14ac:dyDescent="0.2">
      <c r="A271" s="4" t="s">
        <v>328</v>
      </c>
      <c r="B271" s="4" t="s">
        <v>7</v>
      </c>
      <c r="C271" s="4" t="s">
        <v>163</v>
      </c>
      <c r="D271" s="4">
        <v>20007</v>
      </c>
      <c r="E271" s="6">
        <v>45747</v>
      </c>
      <c r="F271" s="7">
        <v>2.507215</v>
      </c>
      <c r="G271" s="7">
        <f t="shared" si="8"/>
        <v>2.507215</v>
      </c>
      <c r="H271" s="7">
        <f t="shared" si="9"/>
        <v>3.7608224999999995E-2</v>
      </c>
    </row>
    <row r="272" spans="1:8" ht="15" customHeight="1" x14ac:dyDescent="0.2">
      <c r="A272" s="4" t="s">
        <v>328</v>
      </c>
      <c r="B272" s="4" t="s">
        <v>7</v>
      </c>
      <c r="C272" s="4" t="s">
        <v>164</v>
      </c>
      <c r="D272" s="4">
        <v>20007</v>
      </c>
      <c r="E272" s="6">
        <v>45747</v>
      </c>
      <c r="F272" s="7">
        <v>2.8417500000000002</v>
      </c>
      <c r="G272" s="7">
        <f t="shared" si="8"/>
        <v>2.8417500000000002</v>
      </c>
      <c r="H272" s="7">
        <f t="shared" si="9"/>
        <v>4.2626250000000004E-2</v>
      </c>
    </row>
    <row r="273" spans="1:8" ht="15" customHeight="1" x14ac:dyDescent="0.2">
      <c r="A273" s="4" t="s">
        <v>328</v>
      </c>
      <c r="B273" s="4" t="s">
        <v>7</v>
      </c>
      <c r="C273" s="4" t="s">
        <v>165</v>
      </c>
      <c r="D273" s="4">
        <v>20007</v>
      </c>
      <c r="E273" s="6">
        <v>45747</v>
      </c>
      <c r="F273" s="7">
        <v>3.8594529999999998</v>
      </c>
      <c r="G273" s="7">
        <f t="shared" si="8"/>
        <v>3.8594529999999998</v>
      </c>
      <c r="H273" s="7">
        <f t="shared" si="9"/>
        <v>5.7891794999999996E-2</v>
      </c>
    </row>
    <row r="274" spans="1:8" ht="15" customHeight="1" x14ac:dyDescent="0.2">
      <c r="A274" s="4" t="s">
        <v>328</v>
      </c>
      <c r="B274" s="4" t="s">
        <v>7</v>
      </c>
      <c r="C274" s="4" t="s">
        <v>166</v>
      </c>
      <c r="D274" s="4">
        <v>20007</v>
      </c>
      <c r="E274" s="6">
        <v>45747</v>
      </c>
      <c r="F274" s="7">
        <v>16.969000000000001</v>
      </c>
      <c r="G274" s="7">
        <f t="shared" si="8"/>
        <v>16.969000000000001</v>
      </c>
      <c r="H274" s="7">
        <f t="shared" si="9"/>
        <v>0.25453500000000001</v>
      </c>
    </row>
    <row r="275" spans="1:8" ht="15" customHeight="1" x14ac:dyDescent="0.2">
      <c r="A275" s="4" t="s">
        <v>328</v>
      </c>
      <c r="B275" s="4" t="s">
        <v>7</v>
      </c>
      <c r="C275" s="4" t="s">
        <v>167</v>
      </c>
      <c r="D275" s="4">
        <v>20007</v>
      </c>
      <c r="E275" s="6">
        <v>45747</v>
      </c>
      <c r="F275" s="7">
        <v>17.97653</v>
      </c>
      <c r="G275" s="7">
        <f t="shared" si="8"/>
        <v>17.97653</v>
      </c>
      <c r="H275" s="7">
        <f t="shared" si="9"/>
        <v>0.26964794999999997</v>
      </c>
    </row>
    <row r="276" spans="1:8" ht="15" customHeight="1" x14ac:dyDescent="0.2">
      <c r="A276" s="4" t="s">
        <v>328</v>
      </c>
      <c r="B276" s="4" t="s">
        <v>7</v>
      </c>
      <c r="C276" s="4" t="s">
        <v>168</v>
      </c>
      <c r="D276" s="4">
        <v>20007</v>
      </c>
      <c r="E276" s="6">
        <v>45747</v>
      </c>
      <c r="F276" s="7">
        <v>4.8731999999999998</v>
      </c>
      <c r="G276" s="7">
        <f t="shared" si="8"/>
        <v>4.8731999999999998</v>
      </c>
      <c r="H276" s="7">
        <f t="shared" si="9"/>
        <v>7.3097999999999996E-2</v>
      </c>
    </row>
    <row r="277" spans="1:8" ht="15" customHeight="1" x14ac:dyDescent="0.2">
      <c r="A277" s="4" t="s">
        <v>328</v>
      </c>
      <c r="B277" s="4" t="s">
        <v>7</v>
      </c>
      <c r="C277" s="4" t="s">
        <v>169</v>
      </c>
      <c r="D277" s="4">
        <v>20007</v>
      </c>
      <c r="E277" s="6">
        <v>45747</v>
      </c>
      <c r="F277" s="7">
        <v>15.000019999999999</v>
      </c>
      <c r="G277" s="7">
        <f t="shared" si="8"/>
        <v>15.000019999999999</v>
      </c>
      <c r="H277" s="7">
        <f t="shared" si="9"/>
        <v>0.22500029999999999</v>
      </c>
    </row>
    <row r="278" spans="1:8" ht="15" customHeight="1" x14ac:dyDescent="0.2">
      <c r="A278" s="4" t="s">
        <v>328</v>
      </c>
      <c r="B278" s="4" t="s">
        <v>7</v>
      </c>
      <c r="C278" s="4" t="s">
        <v>170</v>
      </c>
      <c r="D278" s="4">
        <v>20007</v>
      </c>
      <c r="E278" s="6">
        <v>45747</v>
      </c>
      <c r="F278" s="7">
        <v>18.838999999999999</v>
      </c>
      <c r="G278" s="7">
        <f t="shared" si="8"/>
        <v>18.838999999999999</v>
      </c>
      <c r="H278" s="7">
        <f t="shared" si="9"/>
        <v>0.28258499999999998</v>
      </c>
    </row>
    <row r="279" spans="1:8" ht="15" customHeight="1" x14ac:dyDescent="0.2">
      <c r="A279" s="4" t="s">
        <v>328</v>
      </c>
      <c r="B279" s="4" t="s">
        <v>7</v>
      </c>
      <c r="C279" s="4" t="s">
        <v>171</v>
      </c>
      <c r="D279" s="4">
        <v>20007</v>
      </c>
      <c r="E279" s="6">
        <v>45747</v>
      </c>
      <c r="F279" s="7">
        <v>0.41020000000000001</v>
      </c>
      <c r="G279" s="7">
        <f t="shared" si="8"/>
        <v>0.41020000000000001</v>
      </c>
      <c r="H279" s="7">
        <f t="shared" si="9"/>
        <v>6.1529999999999996E-3</v>
      </c>
    </row>
    <row r="280" spans="1:8" ht="15" customHeight="1" x14ac:dyDescent="0.2">
      <c r="A280" s="4" t="s">
        <v>328</v>
      </c>
      <c r="B280" s="4" t="s">
        <v>7</v>
      </c>
      <c r="C280" s="4" t="s">
        <v>172</v>
      </c>
      <c r="D280" s="4">
        <v>20007</v>
      </c>
      <c r="E280" s="6">
        <v>45747</v>
      </c>
      <c r="F280" s="7">
        <v>72.788970000000006</v>
      </c>
      <c r="G280" s="7">
        <f t="shared" si="8"/>
        <v>72.788970000000006</v>
      </c>
      <c r="H280" s="7">
        <f t="shared" si="9"/>
        <v>1.09183455</v>
      </c>
    </row>
    <row r="281" spans="1:8" ht="15" customHeight="1" x14ac:dyDescent="0.2">
      <c r="A281" s="4" t="s">
        <v>328</v>
      </c>
      <c r="B281" s="4" t="s">
        <v>7</v>
      </c>
      <c r="C281" s="4" t="s">
        <v>173</v>
      </c>
      <c r="D281" s="4">
        <v>20007</v>
      </c>
      <c r="E281" s="6">
        <v>45747</v>
      </c>
      <c r="F281" s="7">
        <v>11.242000000000001</v>
      </c>
      <c r="G281" s="7">
        <f t="shared" si="8"/>
        <v>11.242000000000001</v>
      </c>
      <c r="H281" s="7">
        <f t="shared" si="9"/>
        <v>0.16863</v>
      </c>
    </row>
    <row r="282" spans="1:8" ht="15" customHeight="1" x14ac:dyDescent="0.2">
      <c r="A282" s="4" t="s">
        <v>328</v>
      </c>
      <c r="B282" s="4" t="s">
        <v>7</v>
      </c>
      <c r="C282" s="4" t="s">
        <v>174</v>
      </c>
      <c r="D282" s="4">
        <v>20007</v>
      </c>
      <c r="E282" s="6">
        <v>45747</v>
      </c>
      <c r="F282" s="7">
        <v>84.578749999999999</v>
      </c>
      <c r="G282" s="7">
        <f t="shared" si="8"/>
        <v>84.578749999999999</v>
      </c>
      <c r="H282" s="7">
        <f t="shared" si="9"/>
        <v>1.26868125</v>
      </c>
    </row>
    <row r="283" spans="1:8" ht="15" customHeight="1" x14ac:dyDescent="0.2">
      <c r="A283" s="4" t="s">
        <v>328</v>
      </c>
      <c r="B283" s="4" t="s">
        <v>7</v>
      </c>
      <c r="C283" s="4" t="s">
        <v>175</v>
      </c>
      <c r="D283" s="4">
        <v>20007</v>
      </c>
      <c r="E283" s="6">
        <v>45747</v>
      </c>
      <c r="F283" s="7">
        <v>18.938580000000002</v>
      </c>
      <c r="G283" s="7">
        <f t="shared" si="8"/>
        <v>18.938580000000002</v>
      </c>
      <c r="H283" s="7">
        <f t="shared" si="9"/>
        <v>0.28407870000000002</v>
      </c>
    </row>
    <row r="284" spans="1:8" ht="15" customHeight="1" x14ac:dyDescent="0.2">
      <c r="A284" s="4" t="s">
        <v>328</v>
      </c>
      <c r="B284" s="4" t="s">
        <v>7</v>
      </c>
      <c r="C284" s="4" t="s">
        <v>176</v>
      </c>
      <c r="D284" s="4">
        <v>20007</v>
      </c>
      <c r="E284" s="6">
        <v>45747</v>
      </c>
      <c r="F284" s="7">
        <v>18.37088</v>
      </c>
      <c r="G284" s="7">
        <f t="shared" si="8"/>
        <v>18.37088</v>
      </c>
      <c r="H284" s="7">
        <f t="shared" si="9"/>
        <v>0.27556320000000001</v>
      </c>
    </row>
    <row r="285" spans="1:8" ht="15" customHeight="1" x14ac:dyDescent="0.2">
      <c r="A285" s="4" t="s">
        <v>328</v>
      </c>
      <c r="B285" s="4" t="s">
        <v>7</v>
      </c>
      <c r="C285" s="4" t="s">
        <v>177</v>
      </c>
      <c r="D285" s="4">
        <v>20007</v>
      </c>
      <c r="E285" s="6">
        <v>45747</v>
      </c>
      <c r="F285" s="7">
        <v>6.6749200000000002</v>
      </c>
      <c r="G285" s="7">
        <f t="shared" si="8"/>
        <v>6.6749200000000002</v>
      </c>
      <c r="H285" s="7">
        <f t="shared" si="9"/>
        <v>0.1001238</v>
      </c>
    </row>
    <row r="286" spans="1:8" ht="15" customHeight="1" x14ac:dyDescent="0.2">
      <c r="A286" s="4" t="s">
        <v>328</v>
      </c>
      <c r="B286" s="4" t="s">
        <v>7</v>
      </c>
      <c r="C286" s="4" t="s">
        <v>178</v>
      </c>
      <c r="D286" s="4">
        <v>20007</v>
      </c>
      <c r="E286" s="6">
        <v>45747</v>
      </c>
      <c r="F286" s="7">
        <v>10.021459999999999</v>
      </c>
      <c r="G286" s="7">
        <f t="shared" si="8"/>
        <v>10.021459999999999</v>
      </c>
      <c r="H286" s="7">
        <f t="shared" si="9"/>
        <v>0.15032189999999998</v>
      </c>
    </row>
    <row r="287" spans="1:8" ht="15" customHeight="1" x14ac:dyDescent="0.2">
      <c r="A287" s="4" t="s">
        <v>328</v>
      </c>
      <c r="B287" s="4" t="s">
        <v>7</v>
      </c>
      <c r="C287" s="4" t="s">
        <v>184</v>
      </c>
      <c r="D287" s="4">
        <v>20007</v>
      </c>
      <c r="E287" s="6">
        <v>45747</v>
      </c>
      <c r="F287" s="7">
        <v>194.23570000000001</v>
      </c>
      <c r="G287" s="7">
        <f t="shared" si="8"/>
        <v>194.23570000000001</v>
      </c>
      <c r="H287" s="7">
        <f t="shared" si="9"/>
        <v>2.9135355000000001</v>
      </c>
    </row>
    <row r="288" spans="1:8" ht="15" customHeight="1" x14ac:dyDescent="0.2">
      <c r="A288" s="4" t="s">
        <v>328</v>
      </c>
      <c r="B288" s="4" t="s">
        <v>7</v>
      </c>
      <c r="C288" s="4" t="s">
        <v>185</v>
      </c>
      <c r="D288" s="4">
        <v>20007</v>
      </c>
      <c r="E288" s="6">
        <v>45747</v>
      </c>
      <c r="F288" s="7">
        <v>14.6911</v>
      </c>
      <c r="G288" s="7">
        <f t="shared" si="8"/>
        <v>14.6911</v>
      </c>
      <c r="H288" s="7">
        <f t="shared" si="9"/>
        <v>0.22036649999999999</v>
      </c>
    </row>
    <row r="289" spans="1:8" ht="15" customHeight="1" x14ac:dyDescent="0.2">
      <c r="A289" s="4" t="s">
        <v>328</v>
      </c>
      <c r="B289" s="4" t="s">
        <v>7</v>
      </c>
      <c r="C289" s="4" t="s">
        <v>186</v>
      </c>
      <c r="D289" s="4">
        <v>20007</v>
      </c>
      <c r="E289" s="6">
        <v>45747</v>
      </c>
      <c r="F289" s="7">
        <v>10.84205</v>
      </c>
      <c r="G289" s="7">
        <f t="shared" si="8"/>
        <v>10.84205</v>
      </c>
      <c r="H289" s="7">
        <f t="shared" si="9"/>
        <v>0.16263074999999999</v>
      </c>
    </row>
    <row r="290" spans="1:8" ht="15" customHeight="1" x14ac:dyDescent="0.2">
      <c r="A290" s="4" t="s">
        <v>328</v>
      </c>
      <c r="B290" s="4" t="s">
        <v>7</v>
      </c>
      <c r="C290" s="4" t="s">
        <v>187</v>
      </c>
      <c r="D290" s="4">
        <v>20007</v>
      </c>
      <c r="E290" s="6">
        <v>45747</v>
      </c>
      <c r="F290" s="7">
        <v>60.38653</v>
      </c>
      <c r="G290" s="7">
        <f t="shared" si="8"/>
        <v>60.38653</v>
      </c>
      <c r="H290" s="7">
        <f t="shared" si="9"/>
        <v>0.90579794999999996</v>
      </c>
    </row>
    <row r="291" spans="1:8" ht="15" customHeight="1" x14ac:dyDescent="0.2">
      <c r="A291" s="4" t="s">
        <v>328</v>
      </c>
      <c r="B291" s="4" t="s">
        <v>7</v>
      </c>
      <c r="C291" s="4" t="s">
        <v>188</v>
      </c>
      <c r="D291" s="4">
        <v>20007</v>
      </c>
      <c r="E291" s="6">
        <v>45747</v>
      </c>
      <c r="F291" s="7">
        <v>14.652979999999999</v>
      </c>
      <c r="G291" s="7">
        <f t="shared" si="8"/>
        <v>14.652979999999999</v>
      </c>
      <c r="H291" s="7">
        <f t="shared" si="9"/>
        <v>0.21979469999999998</v>
      </c>
    </row>
    <row r="292" spans="1:8" ht="15" customHeight="1" x14ac:dyDescent="0.2">
      <c r="A292" s="4" t="s">
        <v>328</v>
      </c>
      <c r="B292" s="4" t="s">
        <v>7</v>
      </c>
      <c r="C292" s="4" t="s">
        <v>189</v>
      </c>
      <c r="D292" s="4">
        <v>20007</v>
      </c>
      <c r="E292" s="6">
        <v>45747</v>
      </c>
      <c r="F292" s="7">
        <v>30.226800000000001</v>
      </c>
      <c r="G292" s="7">
        <f t="shared" si="8"/>
        <v>30.226800000000001</v>
      </c>
      <c r="H292" s="7">
        <f t="shared" si="9"/>
        <v>0.45340199999999997</v>
      </c>
    </row>
    <row r="293" spans="1:8" ht="15" customHeight="1" x14ac:dyDescent="0.2">
      <c r="A293" s="4" t="s">
        <v>328</v>
      </c>
      <c r="B293" s="4" t="s">
        <v>7</v>
      </c>
      <c r="C293" s="4" t="s">
        <v>190</v>
      </c>
      <c r="D293" s="4">
        <v>20007</v>
      </c>
      <c r="E293" s="6">
        <v>45747</v>
      </c>
      <c r="F293" s="7">
        <v>11.169890000000001</v>
      </c>
      <c r="G293" s="7">
        <f t="shared" si="8"/>
        <v>11.169890000000001</v>
      </c>
      <c r="H293" s="7">
        <f t="shared" si="9"/>
        <v>0.16754835000000001</v>
      </c>
    </row>
    <row r="294" spans="1:8" ht="15" customHeight="1" x14ac:dyDescent="0.2">
      <c r="A294" s="4" t="s">
        <v>328</v>
      </c>
      <c r="B294" s="4" t="s">
        <v>7</v>
      </c>
      <c r="C294" s="4" t="s">
        <v>191</v>
      </c>
      <c r="D294" s="4">
        <v>20007</v>
      </c>
      <c r="E294" s="6">
        <v>45747</v>
      </c>
      <c r="F294" s="7">
        <v>0.63</v>
      </c>
      <c r="G294" s="7">
        <f t="shared" si="8"/>
        <v>0.63</v>
      </c>
      <c r="H294" s="7">
        <f t="shared" si="9"/>
        <v>9.4500000000000001E-3</v>
      </c>
    </row>
    <row r="295" spans="1:8" ht="15" customHeight="1" x14ac:dyDescent="0.2">
      <c r="A295" s="4" t="s">
        <v>328</v>
      </c>
      <c r="B295" s="4" t="s">
        <v>7</v>
      </c>
      <c r="C295" s="4" t="s">
        <v>192</v>
      </c>
      <c r="D295" s="4">
        <v>20007</v>
      </c>
      <c r="E295" s="6">
        <v>45747</v>
      </c>
      <c r="F295" s="7">
        <v>80.90634</v>
      </c>
      <c r="G295" s="7">
        <f t="shared" si="8"/>
        <v>80.90634</v>
      </c>
      <c r="H295" s="7">
        <f t="shared" si="9"/>
        <v>1.2135951</v>
      </c>
    </row>
    <row r="296" spans="1:8" ht="15" customHeight="1" x14ac:dyDescent="0.2">
      <c r="A296" s="4" t="s">
        <v>328</v>
      </c>
      <c r="B296" s="4" t="s">
        <v>7</v>
      </c>
      <c r="C296" s="4" t="s">
        <v>193</v>
      </c>
      <c r="D296" s="4">
        <v>20007</v>
      </c>
      <c r="E296" s="6">
        <v>45747</v>
      </c>
      <c r="F296" s="7">
        <v>1387.8969999999999</v>
      </c>
      <c r="G296" s="7">
        <f t="shared" si="8"/>
        <v>1387.8969999999999</v>
      </c>
      <c r="H296" s="7">
        <f t="shared" si="9"/>
        <v>20.818454999999997</v>
      </c>
    </row>
    <row r="297" spans="1:8" ht="15" customHeight="1" x14ac:dyDescent="0.2">
      <c r="A297" s="4" t="s">
        <v>328</v>
      </c>
      <c r="B297" s="4" t="s">
        <v>7</v>
      </c>
      <c r="C297" s="4" t="s">
        <v>194</v>
      </c>
      <c r="D297" s="4">
        <v>20007</v>
      </c>
      <c r="E297" s="6">
        <v>45747</v>
      </c>
      <c r="F297" s="7">
        <v>8.0342000000000002</v>
      </c>
      <c r="G297" s="7">
        <f t="shared" si="8"/>
        <v>8.0342000000000002</v>
      </c>
      <c r="H297" s="7">
        <f t="shared" si="9"/>
        <v>0.120513</v>
      </c>
    </row>
    <row r="298" spans="1:8" ht="15" customHeight="1" x14ac:dyDescent="0.2">
      <c r="A298" s="4" t="s">
        <v>328</v>
      </c>
      <c r="B298" s="4" t="s">
        <v>7</v>
      </c>
      <c r="C298" s="4" t="s">
        <v>348</v>
      </c>
      <c r="D298" s="4">
        <v>20007</v>
      </c>
      <c r="E298" s="6">
        <v>45747</v>
      </c>
      <c r="F298" s="7">
        <v>4.7380000000000004</v>
      </c>
      <c r="G298" s="7">
        <f t="shared" si="8"/>
        <v>4.7380000000000004</v>
      </c>
      <c r="H298" s="7">
        <f t="shared" si="9"/>
        <v>7.1070000000000008E-2</v>
      </c>
    </row>
    <row r="299" spans="1:8" ht="15" customHeight="1" x14ac:dyDescent="0.2">
      <c r="A299" s="4" t="s">
        <v>328</v>
      </c>
      <c r="B299" s="4" t="s">
        <v>7</v>
      </c>
      <c r="C299" s="4" t="s">
        <v>195</v>
      </c>
      <c r="D299" s="4">
        <v>20007</v>
      </c>
      <c r="E299" s="6">
        <v>45747</v>
      </c>
      <c r="F299" s="7">
        <v>0.35620000000000002</v>
      </c>
      <c r="G299" s="7">
        <f t="shared" si="8"/>
        <v>0.35620000000000002</v>
      </c>
      <c r="H299" s="7">
        <f t="shared" si="9"/>
        <v>5.3429999999999997E-3</v>
      </c>
    </row>
    <row r="300" spans="1:8" ht="15" customHeight="1" x14ac:dyDescent="0.2">
      <c r="A300" s="4" t="s">
        <v>328</v>
      </c>
      <c r="B300" s="4" t="s">
        <v>7</v>
      </c>
      <c r="C300" s="4" t="s">
        <v>196</v>
      </c>
      <c r="D300" s="4">
        <v>20007</v>
      </c>
      <c r="E300" s="6">
        <v>45747</v>
      </c>
      <c r="F300" s="7">
        <v>33.550159999999998</v>
      </c>
      <c r="G300" s="7">
        <f t="shared" si="8"/>
        <v>33.550159999999998</v>
      </c>
      <c r="H300" s="7">
        <f t="shared" si="9"/>
        <v>0.50325239999999993</v>
      </c>
    </row>
    <row r="301" spans="1:8" ht="15" customHeight="1" x14ac:dyDescent="0.2">
      <c r="A301" s="4" t="s">
        <v>328</v>
      </c>
      <c r="B301" s="4" t="s">
        <v>7</v>
      </c>
      <c r="C301" s="4" t="s">
        <v>197</v>
      </c>
      <c r="D301" s="4">
        <v>20007</v>
      </c>
      <c r="E301" s="6">
        <v>45747</v>
      </c>
      <c r="F301" s="7">
        <v>82.980959999999996</v>
      </c>
      <c r="G301" s="7">
        <f t="shared" si="8"/>
        <v>82.980959999999996</v>
      </c>
      <c r="H301" s="7">
        <f t="shared" si="9"/>
        <v>1.2447143999999999</v>
      </c>
    </row>
    <row r="302" spans="1:8" ht="15" customHeight="1" x14ac:dyDescent="0.2">
      <c r="A302" s="4" t="s">
        <v>328</v>
      </c>
      <c r="B302" s="4" t="s">
        <v>7</v>
      </c>
      <c r="C302" s="4" t="s">
        <v>198</v>
      </c>
      <c r="D302" s="4">
        <v>20007</v>
      </c>
      <c r="E302" s="6">
        <v>45747</v>
      </c>
      <c r="F302" s="7">
        <v>52.608199999999997</v>
      </c>
      <c r="G302" s="7">
        <f t="shared" si="8"/>
        <v>52.608199999999997</v>
      </c>
      <c r="H302" s="7">
        <f t="shared" si="9"/>
        <v>0.78912299999999991</v>
      </c>
    </row>
    <row r="303" spans="1:8" ht="15" customHeight="1" x14ac:dyDescent="0.2">
      <c r="A303" s="4" t="s">
        <v>328</v>
      </c>
      <c r="B303" s="4" t="s">
        <v>7</v>
      </c>
      <c r="C303" s="4" t="s">
        <v>199</v>
      </c>
      <c r="D303" s="4">
        <v>20007</v>
      </c>
      <c r="E303" s="6">
        <v>45747</v>
      </c>
      <c r="F303" s="7">
        <v>16.191230000000001</v>
      </c>
      <c r="G303" s="7">
        <f t="shared" si="8"/>
        <v>16.191230000000001</v>
      </c>
      <c r="H303" s="7">
        <f t="shared" si="9"/>
        <v>0.24286845000000001</v>
      </c>
    </row>
    <row r="304" spans="1:8" ht="15" customHeight="1" x14ac:dyDescent="0.2">
      <c r="A304" s="4" t="s">
        <v>328</v>
      </c>
      <c r="B304" s="4" t="s">
        <v>7</v>
      </c>
      <c r="C304" s="4" t="s">
        <v>349</v>
      </c>
      <c r="D304" s="4">
        <v>20007</v>
      </c>
      <c r="E304" s="6">
        <v>45747</v>
      </c>
      <c r="F304" s="7">
        <v>0.79781199999999997</v>
      </c>
      <c r="G304" s="7">
        <f t="shared" si="8"/>
        <v>0.79781199999999997</v>
      </c>
      <c r="H304" s="7">
        <f t="shared" si="9"/>
        <v>1.1967179999999999E-2</v>
      </c>
    </row>
    <row r="305" spans="1:8" ht="15" customHeight="1" x14ac:dyDescent="0.2">
      <c r="A305" s="4" t="s">
        <v>328</v>
      </c>
      <c r="B305" s="4" t="s">
        <v>7</v>
      </c>
      <c r="C305" s="4" t="s">
        <v>200</v>
      </c>
      <c r="D305" s="4">
        <v>20007</v>
      </c>
      <c r="E305" s="6">
        <v>45747</v>
      </c>
      <c r="F305" s="7">
        <v>6.2409999999999997</v>
      </c>
      <c r="G305" s="7">
        <f t="shared" si="8"/>
        <v>6.2409999999999997</v>
      </c>
      <c r="H305" s="7">
        <f t="shared" si="9"/>
        <v>9.361499999999999E-2</v>
      </c>
    </row>
    <row r="306" spans="1:8" ht="15" customHeight="1" x14ac:dyDescent="0.2">
      <c r="A306" s="4" t="s">
        <v>328</v>
      </c>
      <c r="B306" s="4" t="s">
        <v>7</v>
      </c>
      <c r="C306" s="4" t="s">
        <v>201</v>
      </c>
      <c r="D306" s="4">
        <v>20007</v>
      </c>
      <c r="E306" s="6">
        <v>45747</v>
      </c>
      <c r="F306" s="7">
        <v>82.187430000000006</v>
      </c>
      <c r="G306" s="7">
        <f t="shared" si="8"/>
        <v>82.187430000000006</v>
      </c>
      <c r="H306" s="7">
        <f t="shared" si="9"/>
        <v>1.23281145</v>
      </c>
    </row>
    <row r="307" spans="1:8" ht="15" customHeight="1" x14ac:dyDescent="0.2">
      <c r="A307" s="4" t="s">
        <v>328</v>
      </c>
      <c r="B307" s="4" t="s">
        <v>7</v>
      </c>
      <c r="C307" s="4" t="s">
        <v>202</v>
      </c>
      <c r="D307" s="4">
        <v>20007</v>
      </c>
      <c r="E307" s="6">
        <v>45747</v>
      </c>
      <c r="F307" s="7">
        <v>31.12753</v>
      </c>
      <c r="G307" s="7">
        <f t="shared" si="8"/>
        <v>31.12753</v>
      </c>
      <c r="H307" s="7">
        <f t="shared" si="9"/>
        <v>0.46691294999999999</v>
      </c>
    </row>
    <row r="308" spans="1:8" ht="15" customHeight="1" x14ac:dyDescent="0.2">
      <c r="A308" s="4" t="s">
        <v>328</v>
      </c>
      <c r="B308" s="4" t="s">
        <v>7</v>
      </c>
      <c r="C308" s="4" t="s">
        <v>203</v>
      </c>
      <c r="D308" s="4">
        <v>20007</v>
      </c>
      <c r="E308" s="6">
        <v>45747</v>
      </c>
      <c r="F308" s="7">
        <v>0.68679999999999997</v>
      </c>
      <c r="G308" s="7">
        <f t="shared" si="8"/>
        <v>0.68679999999999997</v>
      </c>
      <c r="H308" s="7">
        <f t="shared" si="9"/>
        <v>1.0301999999999999E-2</v>
      </c>
    </row>
    <row r="309" spans="1:8" ht="15" customHeight="1" x14ac:dyDescent="0.2">
      <c r="A309" s="4" t="s">
        <v>328</v>
      </c>
      <c r="B309" s="4" t="s">
        <v>7</v>
      </c>
      <c r="C309" s="4" t="s">
        <v>204</v>
      </c>
      <c r="D309" s="4">
        <v>20007</v>
      </c>
      <c r="E309" s="6">
        <v>45747</v>
      </c>
      <c r="F309" s="7">
        <v>114.1832</v>
      </c>
      <c r="G309" s="7">
        <f t="shared" si="8"/>
        <v>114.1832</v>
      </c>
      <c r="H309" s="7">
        <f t="shared" si="9"/>
        <v>1.7127479999999999</v>
      </c>
    </row>
    <row r="310" spans="1:8" ht="15" customHeight="1" x14ac:dyDescent="0.2">
      <c r="A310" s="4" t="s">
        <v>328</v>
      </c>
      <c r="B310" s="4" t="s">
        <v>7</v>
      </c>
      <c r="C310" s="4" t="s">
        <v>205</v>
      </c>
      <c r="D310" s="4">
        <v>20007</v>
      </c>
      <c r="E310" s="6">
        <v>45747</v>
      </c>
      <c r="F310" s="7">
        <v>37.030819999999999</v>
      </c>
      <c r="G310" s="7">
        <f t="shared" si="8"/>
        <v>37.030819999999999</v>
      </c>
      <c r="H310" s="7">
        <f t="shared" si="9"/>
        <v>0.55546229999999996</v>
      </c>
    </row>
    <row r="311" spans="1:8" ht="15" customHeight="1" x14ac:dyDescent="0.2">
      <c r="A311" s="4" t="s">
        <v>328</v>
      </c>
      <c r="B311" s="4" t="s">
        <v>7</v>
      </c>
      <c r="C311" s="4" t="s">
        <v>206</v>
      </c>
      <c r="D311" s="4">
        <v>20007</v>
      </c>
      <c r="E311" s="6">
        <v>45747</v>
      </c>
      <c r="F311" s="7">
        <v>24.205069999999999</v>
      </c>
      <c r="G311" s="7">
        <f t="shared" si="8"/>
        <v>24.205069999999999</v>
      </c>
      <c r="H311" s="7">
        <f t="shared" si="9"/>
        <v>0.36307604999999998</v>
      </c>
    </row>
    <row r="312" spans="1:8" ht="15" customHeight="1" x14ac:dyDescent="0.2">
      <c r="A312" s="4" t="s">
        <v>328</v>
      </c>
      <c r="B312" s="4" t="s">
        <v>7</v>
      </c>
      <c r="C312" s="4" t="s">
        <v>207</v>
      </c>
      <c r="D312" s="4">
        <v>20007</v>
      </c>
      <c r="E312" s="6">
        <v>45747</v>
      </c>
      <c r="F312" s="7">
        <v>3.2548979999999998</v>
      </c>
      <c r="G312" s="7">
        <f t="shared" si="8"/>
        <v>3.2548979999999998</v>
      </c>
      <c r="H312" s="7">
        <f t="shared" si="9"/>
        <v>4.8823469999999994E-2</v>
      </c>
    </row>
    <row r="313" spans="1:8" ht="15" customHeight="1" x14ac:dyDescent="0.2">
      <c r="A313" s="4" t="s">
        <v>328</v>
      </c>
      <c r="B313" s="4" t="s">
        <v>7</v>
      </c>
      <c r="C313" s="4" t="s">
        <v>208</v>
      </c>
      <c r="D313" s="4">
        <v>20007</v>
      </c>
      <c r="E313" s="6">
        <v>45747</v>
      </c>
      <c r="F313" s="7">
        <v>44.55</v>
      </c>
      <c r="G313" s="7">
        <f t="shared" ref="G313:G373" si="10">F313</f>
        <v>44.55</v>
      </c>
      <c r="H313" s="7">
        <f t="shared" ref="H313:H373" si="11">G313*0.015</f>
        <v>0.6682499999999999</v>
      </c>
    </row>
    <row r="314" spans="1:8" ht="15" customHeight="1" x14ac:dyDescent="0.2">
      <c r="A314" s="4" t="s">
        <v>328</v>
      </c>
      <c r="B314" s="4" t="s">
        <v>7</v>
      </c>
      <c r="C314" s="4" t="s">
        <v>209</v>
      </c>
      <c r="D314" s="4">
        <v>20007</v>
      </c>
      <c r="E314" s="6">
        <v>45747</v>
      </c>
      <c r="F314" s="7">
        <v>6243.5959999999995</v>
      </c>
      <c r="G314" s="7">
        <f t="shared" si="10"/>
        <v>6243.5959999999995</v>
      </c>
      <c r="H314" s="7">
        <f t="shared" si="11"/>
        <v>93.653939999999992</v>
      </c>
    </row>
    <row r="315" spans="1:8" ht="15" customHeight="1" x14ac:dyDescent="0.2">
      <c r="A315" s="4" t="s">
        <v>328</v>
      </c>
      <c r="B315" s="4" t="s">
        <v>7</v>
      </c>
      <c r="C315" s="4" t="s">
        <v>210</v>
      </c>
      <c r="D315" s="4">
        <v>20007</v>
      </c>
      <c r="E315" s="6">
        <v>45747</v>
      </c>
      <c r="F315" s="7">
        <v>403.69850000000002</v>
      </c>
      <c r="G315" s="7">
        <f t="shared" si="10"/>
        <v>403.69850000000002</v>
      </c>
      <c r="H315" s="7">
        <f t="shared" si="11"/>
        <v>6.0554775000000003</v>
      </c>
    </row>
    <row r="316" spans="1:8" ht="15" customHeight="1" x14ac:dyDescent="0.2">
      <c r="A316" s="4" t="s">
        <v>328</v>
      </c>
      <c r="B316" s="4" t="s">
        <v>7</v>
      </c>
      <c r="C316" s="4" t="s">
        <v>211</v>
      </c>
      <c r="D316" s="4">
        <v>20007</v>
      </c>
      <c r="E316" s="6">
        <v>45747</v>
      </c>
      <c r="F316" s="7">
        <v>2918.8719999999998</v>
      </c>
      <c r="G316" s="7">
        <f t="shared" si="10"/>
        <v>2918.8719999999998</v>
      </c>
      <c r="H316" s="7">
        <f t="shared" si="11"/>
        <v>43.783079999999998</v>
      </c>
    </row>
    <row r="317" spans="1:8" ht="15" customHeight="1" x14ac:dyDescent="0.2">
      <c r="A317" s="4" t="s">
        <v>328</v>
      </c>
      <c r="B317" s="4" t="s">
        <v>7</v>
      </c>
      <c r="C317" s="4" t="s">
        <v>212</v>
      </c>
      <c r="D317" s="4">
        <v>20007</v>
      </c>
      <c r="E317" s="6">
        <v>45747</v>
      </c>
      <c r="F317" s="7">
        <v>11.930630000000001</v>
      </c>
      <c r="G317" s="7">
        <f t="shared" si="10"/>
        <v>11.930630000000001</v>
      </c>
      <c r="H317" s="7">
        <f t="shared" si="11"/>
        <v>0.17895944999999999</v>
      </c>
    </row>
    <row r="318" spans="1:8" ht="15" customHeight="1" x14ac:dyDescent="0.2">
      <c r="A318" s="4" t="s">
        <v>328</v>
      </c>
      <c r="B318" s="4" t="s">
        <v>7</v>
      </c>
      <c r="C318" s="4" t="s">
        <v>213</v>
      </c>
      <c r="D318" s="4">
        <v>20007</v>
      </c>
      <c r="E318" s="6">
        <v>45747</v>
      </c>
      <c r="F318" s="7">
        <v>95.655019999999993</v>
      </c>
      <c r="G318" s="7">
        <f t="shared" si="10"/>
        <v>95.655019999999993</v>
      </c>
      <c r="H318" s="7">
        <f t="shared" si="11"/>
        <v>1.4348252999999997</v>
      </c>
    </row>
    <row r="319" spans="1:8" ht="15" customHeight="1" x14ac:dyDescent="0.2">
      <c r="A319" s="4" t="s">
        <v>328</v>
      </c>
      <c r="B319" s="4" t="s">
        <v>7</v>
      </c>
      <c r="C319" s="4" t="s">
        <v>214</v>
      </c>
      <c r="D319" s="4">
        <v>20007</v>
      </c>
      <c r="E319" s="6">
        <v>45747</v>
      </c>
      <c r="F319" s="7">
        <v>35.512169999999998</v>
      </c>
      <c r="G319" s="7">
        <f t="shared" si="10"/>
        <v>35.512169999999998</v>
      </c>
      <c r="H319" s="7">
        <f t="shared" si="11"/>
        <v>0.53268254999999998</v>
      </c>
    </row>
    <row r="320" spans="1:8" ht="15" customHeight="1" x14ac:dyDescent="0.2">
      <c r="A320" s="4" t="s">
        <v>328</v>
      </c>
      <c r="B320" s="4" t="s">
        <v>7</v>
      </c>
      <c r="C320" s="4" t="s">
        <v>215</v>
      </c>
      <c r="D320" s="4">
        <v>20007</v>
      </c>
      <c r="E320" s="6">
        <v>45747</v>
      </c>
      <c r="F320" s="7">
        <v>17.604649999999999</v>
      </c>
      <c r="G320" s="7">
        <f t="shared" si="10"/>
        <v>17.604649999999999</v>
      </c>
      <c r="H320" s="7">
        <f t="shared" si="11"/>
        <v>0.26406974999999999</v>
      </c>
    </row>
    <row r="321" spans="1:8" ht="15" customHeight="1" x14ac:dyDescent="0.2">
      <c r="A321" s="4" t="s">
        <v>328</v>
      </c>
      <c r="B321" s="4" t="s">
        <v>7</v>
      </c>
      <c r="C321" s="4" t="s">
        <v>216</v>
      </c>
      <c r="D321" s="4">
        <v>20007</v>
      </c>
      <c r="E321" s="6">
        <v>45747</v>
      </c>
      <c r="F321" s="7">
        <v>0.59099999999999997</v>
      </c>
      <c r="G321" s="7">
        <f t="shared" si="10"/>
        <v>0.59099999999999997</v>
      </c>
      <c r="H321" s="7">
        <f t="shared" si="11"/>
        <v>8.8649999999999996E-3</v>
      </c>
    </row>
    <row r="322" spans="1:8" ht="15" customHeight="1" x14ac:dyDescent="0.2">
      <c r="A322" s="4" t="s">
        <v>328</v>
      </c>
      <c r="B322" s="4" t="s">
        <v>7</v>
      </c>
      <c r="C322" s="4" t="s">
        <v>217</v>
      </c>
      <c r="D322" s="4">
        <v>20007</v>
      </c>
      <c r="E322" s="6">
        <v>45747</v>
      </c>
      <c r="F322" s="7">
        <v>5.6505000000000001</v>
      </c>
      <c r="G322" s="7">
        <f t="shared" si="10"/>
        <v>5.6505000000000001</v>
      </c>
      <c r="H322" s="7">
        <f t="shared" si="11"/>
        <v>8.47575E-2</v>
      </c>
    </row>
    <row r="323" spans="1:8" ht="15" customHeight="1" x14ac:dyDescent="0.2">
      <c r="A323" s="4" t="s">
        <v>328</v>
      </c>
      <c r="B323" s="4" t="s">
        <v>7</v>
      </c>
      <c r="C323" s="4" t="s">
        <v>218</v>
      </c>
      <c r="D323" s="4">
        <v>20007</v>
      </c>
      <c r="E323" s="6">
        <v>45747</v>
      </c>
      <c r="F323" s="7">
        <v>2.602725</v>
      </c>
      <c r="G323" s="7">
        <f t="shared" si="10"/>
        <v>2.602725</v>
      </c>
      <c r="H323" s="7">
        <f t="shared" si="11"/>
        <v>3.9040874999999996E-2</v>
      </c>
    </row>
    <row r="324" spans="1:8" ht="15" customHeight="1" x14ac:dyDescent="0.2">
      <c r="A324" s="4" t="s">
        <v>328</v>
      </c>
      <c r="B324" s="4" t="s">
        <v>7</v>
      </c>
      <c r="C324" s="4" t="s">
        <v>219</v>
      </c>
      <c r="D324" s="4">
        <v>20007</v>
      </c>
      <c r="E324" s="6">
        <v>45747</v>
      </c>
      <c r="F324" s="7">
        <v>8.8727319999999992</v>
      </c>
      <c r="G324" s="7">
        <f t="shared" si="10"/>
        <v>8.8727319999999992</v>
      </c>
      <c r="H324" s="7">
        <f t="shared" si="11"/>
        <v>0.13309097999999997</v>
      </c>
    </row>
    <row r="325" spans="1:8" ht="15" customHeight="1" x14ac:dyDescent="0.2">
      <c r="A325" s="4" t="s">
        <v>328</v>
      </c>
      <c r="B325" s="4" t="s">
        <v>7</v>
      </c>
      <c r="C325" s="4" t="s">
        <v>220</v>
      </c>
      <c r="D325" s="4">
        <v>20007</v>
      </c>
      <c r="E325" s="6">
        <v>45747</v>
      </c>
      <c r="F325" s="7">
        <v>16.397349999999999</v>
      </c>
      <c r="G325" s="7">
        <f t="shared" si="10"/>
        <v>16.397349999999999</v>
      </c>
      <c r="H325" s="7">
        <f t="shared" si="11"/>
        <v>0.24596024999999999</v>
      </c>
    </row>
    <row r="326" spans="1:8" ht="15" customHeight="1" x14ac:dyDescent="0.2">
      <c r="A326" s="4" t="s">
        <v>328</v>
      </c>
      <c r="B326" s="4" t="s">
        <v>7</v>
      </c>
      <c r="C326" s="4" t="s">
        <v>221</v>
      </c>
      <c r="D326" s="4">
        <v>20007</v>
      </c>
      <c r="E326" s="6">
        <v>45747</v>
      </c>
      <c r="F326" s="7">
        <v>52.53989</v>
      </c>
      <c r="G326" s="7">
        <f t="shared" si="10"/>
        <v>52.53989</v>
      </c>
      <c r="H326" s="7">
        <f t="shared" si="11"/>
        <v>0.78809834999999995</v>
      </c>
    </row>
    <row r="327" spans="1:8" ht="15" customHeight="1" x14ac:dyDescent="0.2">
      <c r="A327" s="4" t="s">
        <v>328</v>
      </c>
      <c r="B327" s="4" t="s">
        <v>7</v>
      </c>
      <c r="C327" s="4" t="s">
        <v>222</v>
      </c>
      <c r="D327" s="4">
        <v>20007</v>
      </c>
      <c r="E327" s="6">
        <v>45747</v>
      </c>
      <c r="F327" s="7">
        <v>2.7635000000000001</v>
      </c>
      <c r="G327" s="7">
        <f t="shared" si="10"/>
        <v>2.7635000000000001</v>
      </c>
      <c r="H327" s="7">
        <f t="shared" si="11"/>
        <v>4.1452499999999996E-2</v>
      </c>
    </row>
    <row r="328" spans="1:8" ht="15" customHeight="1" x14ac:dyDescent="0.2">
      <c r="A328" s="4" t="s">
        <v>328</v>
      </c>
      <c r="B328" s="4" t="s">
        <v>7</v>
      </c>
      <c r="C328" s="4" t="s">
        <v>223</v>
      </c>
      <c r="D328" s="4">
        <v>20007</v>
      </c>
      <c r="E328" s="6">
        <v>45747</v>
      </c>
      <c r="F328" s="7">
        <v>19.86476</v>
      </c>
      <c r="G328" s="7">
        <f t="shared" si="10"/>
        <v>19.86476</v>
      </c>
      <c r="H328" s="7">
        <f t="shared" si="11"/>
        <v>0.2979714</v>
      </c>
    </row>
    <row r="329" spans="1:8" ht="15" customHeight="1" x14ac:dyDescent="0.2">
      <c r="A329" s="4" t="s">
        <v>328</v>
      </c>
      <c r="B329" s="4" t="s">
        <v>7</v>
      </c>
      <c r="C329" s="4" t="s">
        <v>224</v>
      </c>
      <c r="D329" s="4">
        <v>20007</v>
      </c>
      <c r="E329" s="6">
        <v>45747</v>
      </c>
      <c r="F329" s="7">
        <v>0.39</v>
      </c>
      <c r="G329" s="7">
        <f t="shared" si="10"/>
        <v>0.39</v>
      </c>
      <c r="H329" s="7">
        <f t="shared" si="11"/>
        <v>5.8500000000000002E-3</v>
      </c>
    </row>
    <row r="330" spans="1:8" ht="15" customHeight="1" x14ac:dyDescent="0.2">
      <c r="A330" s="4" t="s">
        <v>328</v>
      </c>
      <c r="B330" s="4" t="s">
        <v>7</v>
      </c>
      <c r="C330" s="4" t="s">
        <v>225</v>
      </c>
      <c r="D330" s="4">
        <v>20007</v>
      </c>
      <c r="E330" s="6">
        <v>45747</v>
      </c>
      <c r="F330" s="7">
        <v>1.1837</v>
      </c>
      <c r="G330" s="7">
        <f t="shared" si="10"/>
        <v>1.1837</v>
      </c>
      <c r="H330" s="7">
        <f t="shared" si="11"/>
        <v>1.77555E-2</v>
      </c>
    </row>
    <row r="331" spans="1:8" ht="15" customHeight="1" x14ac:dyDescent="0.2">
      <c r="A331" s="4" t="s">
        <v>328</v>
      </c>
      <c r="B331" s="4" t="s">
        <v>7</v>
      </c>
      <c r="C331" s="4" t="s">
        <v>226</v>
      </c>
      <c r="D331" s="4">
        <v>20007</v>
      </c>
      <c r="E331" s="6">
        <v>45747</v>
      </c>
      <c r="F331" s="7">
        <v>1.847127</v>
      </c>
      <c r="G331" s="7">
        <f t="shared" si="10"/>
        <v>1.847127</v>
      </c>
      <c r="H331" s="7">
        <f t="shared" si="11"/>
        <v>2.7706904999999997E-2</v>
      </c>
    </row>
    <row r="332" spans="1:8" ht="15" customHeight="1" x14ac:dyDescent="0.2">
      <c r="A332" s="4" t="s">
        <v>328</v>
      </c>
      <c r="B332" s="4" t="s">
        <v>7</v>
      </c>
      <c r="C332" s="4" t="s">
        <v>227</v>
      </c>
      <c r="D332" s="4">
        <v>20007</v>
      </c>
      <c r="E332" s="6">
        <v>45747</v>
      </c>
      <c r="F332" s="7">
        <v>119.02509999999999</v>
      </c>
      <c r="G332" s="7">
        <f t="shared" si="10"/>
        <v>119.02509999999999</v>
      </c>
      <c r="H332" s="7">
        <f t="shared" si="11"/>
        <v>1.7853764999999999</v>
      </c>
    </row>
    <row r="333" spans="1:8" ht="15" customHeight="1" x14ac:dyDescent="0.2">
      <c r="A333" s="4" t="s">
        <v>328</v>
      </c>
      <c r="B333" s="4" t="s">
        <v>7</v>
      </c>
      <c r="C333" s="4" t="s">
        <v>228</v>
      </c>
      <c r="D333" s="4">
        <v>20007</v>
      </c>
      <c r="E333" s="6">
        <v>45747</v>
      </c>
      <c r="F333" s="7">
        <v>9.8124690000000001</v>
      </c>
      <c r="G333" s="7">
        <f t="shared" si="10"/>
        <v>9.8124690000000001</v>
      </c>
      <c r="H333" s="7">
        <f t="shared" si="11"/>
        <v>0.14718703499999999</v>
      </c>
    </row>
    <row r="334" spans="1:8" ht="15" customHeight="1" x14ac:dyDescent="0.2">
      <c r="A334" s="4" t="s">
        <v>328</v>
      </c>
      <c r="B334" s="4" t="s">
        <v>7</v>
      </c>
      <c r="C334" s="4" t="s">
        <v>318</v>
      </c>
      <c r="D334" s="4">
        <v>20007</v>
      </c>
      <c r="E334" s="6">
        <v>45747</v>
      </c>
      <c r="F334" s="7">
        <v>5.6488500000000004</v>
      </c>
      <c r="G334" s="7">
        <f t="shared" si="10"/>
        <v>5.6488500000000004</v>
      </c>
      <c r="H334" s="7">
        <f t="shared" si="11"/>
        <v>8.4732749999999996E-2</v>
      </c>
    </row>
    <row r="335" spans="1:8" ht="15" customHeight="1" x14ac:dyDescent="0.2">
      <c r="A335" s="4" t="s">
        <v>328</v>
      </c>
      <c r="B335" s="4" t="s">
        <v>7</v>
      </c>
      <c r="C335" s="4" t="s">
        <v>319</v>
      </c>
      <c r="D335" s="4">
        <v>20007</v>
      </c>
      <c r="E335" s="6">
        <v>45747</v>
      </c>
      <c r="F335" s="7">
        <v>0.8125</v>
      </c>
      <c r="G335" s="7">
        <f t="shared" si="10"/>
        <v>0.8125</v>
      </c>
      <c r="H335" s="7">
        <f t="shared" si="11"/>
        <v>1.21875E-2</v>
      </c>
    </row>
    <row r="336" spans="1:8" ht="15" customHeight="1" x14ac:dyDescent="0.2">
      <c r="A336" s="4" t="s">
        <v>328</v>
      </c>
      <c r="B336" s="4" t="s">
        <v>7</v>
      </c>
      <c r="C336" s="4" t="s">
        <v>320</v>
      </c>
      <c r="D336" s="4">
        <v>20007</v>
      </c>
      <c r="E336" s="6">
        <v>45747</v>
      </c>
      <c r="F336" s="7">
        <v>11.0969</v>
      </c>
      <c r="G336" s="7">
        <f t="shared" si="10"/>
        <v>11.0969</v>
      </c>
      <c r="H336" s="7">
        <f t="shared" si="11"/>
        <v>0.16645349999999998</v>
      </c>
    </row>
    <row r="337" spans="1:8" ht="15" customHeight="1" x14ac:dyDescent="0.2">
      <c r="A337" s="4" t="s">
        <v>328</v>
      </c>
      <c r="B337" s="4" t="s">
        <v>7</v>
      </c>
      <c r="C337" s="4" t="s">
        <v>321</v>
      </c>
      <c r="D337" s="4">
        <v>20007</v>
      </c>
      <c r="E337" s="6">
        <v>45747</v>
      </c>
      <c r="F337" s="7">
        <v>13.84948</v>
      </c>
      <c r="G337" s="7">
        <f t="shared" si="10"/>
        <v>13.84948</v>
      </c>
      <c r="H337" s="7">
        <f t="shared" si="11"/>
        <v>0.20774219999999999</v>
      </c>
    </row>
    <row r="338" spans="1:8" ht="15" customHeight="1" x14ac:dyDescent="0.2">
      <c r="A338" s="4" t="s">
        <v>328</v>
      </c>
      <c r="B338" s="4" t="s">
        <v>7</v>
      </c>
      <c r="C338" s="4" t="s">
        <v>322</v>
      </c>
      <c r="D338" s="4">
        <v>20007</v>
      </c>
      <c r="E338" s="6">
        <v>45747</v>
      </c>
      <c r="F338" s="7">
        <v>9.5879999999999992</v>
      </c>
      <c r="G338" s="7">
        <f t="shared" si="10"/>
        <v>9.5879999999999992</v>
      </c>
      <c r="H338" s="7">
        <f t="shared" si="11"/>
        <v>0.14381999999999998</v>
      </c>
    </row>
    <row r="339" spans="1:8" ht="15" customHeight="1" x14ac:dyDescent="0.2">
      <c r="A339" s="4" t="s">
        <v>328</v>
      </c>
      <c r="B339" s="4" t="s">
        <v>7</v>
      </c>
      <c r="C339" s="4" t="s">
        <v>323</v>
      </c>
      <c r="D339" s="4">
        <v>20007</v>
      </c>
      <c r="E339" s="6">
        <v>45747</v>
      </c>
      <c r="F339" s="7">
        <v>1.9930000000000001</v>
      </c>
      <c r="G339" s="7">
        <f t="shared" si="10"/>
        <v>1.9930000000000001</v>
      </c>
      <c r="H339" s="7">
        <f t="shared" si="11"/>
        <v>2.9895000000000001E-2</v>
      </c>
    </row>
    <row r="340" spans="1:8" ht="15" customHeight="1" x14ac:dyDescent="0.2">
      <c r="A340" s="4" t="s">
        <v>328</v>
      </c>
      <c r="B340" s="4" t="s">
        <v>7</v>
      </c>
      <c r="C340" s="4" t="s">
        <v>324</v>
      </c>
      <c r="D340" s="4">
        <v>20007</v>
      </c>
      <c r="E340" s="6">
        <v>45747</v>
      </c>
      <c r="F340" s="7">
        <v>2.9023469999999998</v>
      </c>
      <c r="G340" s="7">
        <f t="shared" si="10"/>
        <v>2.9023469999999998</v>
      </c>
      <c r="H340" s="7">
        <f t="shared" si="11"/>
        <v>4.3535204999999993E-2</v>
      </c>
    </row>
    <row r="341" spans="1:8" ht="15" customHeight="1" x14ac:dyDescent="0.2">
      <c r="A341" s="4" t="s">
        <v>328</v>
      </c>
      <c r="B341" s="4" t="s">
        <v>7</v>
      </c>
      <c r="C341" s="4" t="s">
        <v>350</v>
      </c>
      <c r="D341" s="4">
        <v>20007</v>
      </c>
      <c r="E341" s="6">
        <v>45747</v>
      </c>
      <c r="F341" s="7">
        <v>0.92500000000000004</v>
      </c>
      <c r="G341" s="7">
        <f t="shared" si="10"/>
        <v>0.92500000000000004</v>
      </c>
      <c r="H341" s="7">
        <f t="shared" si="11"/>
        <v>1.3875E-2</v>
      </c>
    </row>
    <row r="342" spans="1:8" ht="15" customHeight="1" x14ac:dyDescent="0.2">
      <c r="A342" s="4" t="s">
        <v>328</v>
      </c>
      <c r="B342" s="4" t="s">
        <v>7</v>
      </c>
      <c r="C342" s="4" t="s">
        <v>325</v>
      </c>
      <c r="D342" s="4">
        <v>20007</v>
      </c>
      <c r="E342" s="6">
        <v>45747</v>
      </c>
      <c r="F342" s="7">
        <v>66.137280000000004</v>
      </c>
      <c r="G342" s="7">
        <f t="shared" si="10"/>
        <v>66.137280000000004</v>
      </c>
      <c r="H342" s="7">
        <f t="shared" si="11"/>
        <v>0.99205920000000003</v>
      </c>
    </row>
    <row r="343" spans="1:8" ht="15" customHeight="1" x14ac:dyDescent="0.2">
      <c r="A343" s="4" t="s">
        <v>328</v>
      </c>
      <c r="B343" s="4" t="s">
        <v>7</v>
      </c>
      <c r="C343" s="4" t="s">
        <v>326</v>
      </c>
      <c r="D343" s="4">
        <v>20007</v>
      </c>
      <c r="E343" s="6">
        <v>45747</v>
      </c>
      <c r="F343" s="7">
        <v>3.44225</v>
      </c>
      <c r="G343" s="7">
        <f t="shared" si="10"/>
        <v>3.44225</v>
      </c>
      <c r="H343" s="7">
        <f t="shared" si="11"/>
        <v>5.1633749999999999E-2</v>
      </c>
    </row>
    <row r="344" spans="1:8" ht="15" customHeight="1" x14ac:dyDescent="0.2">
      <c r="A344" s="4" t="s">
        <v>328</v>
      </c>
      <c r="B344" s="4" t="s">
        <v>7</v>
      </c>
      <c r="C344" s="4" t="s">
        <v>327</v>
      </c>
      <c r="D344" s="4">
        <v>20007</v>
      </c>
      <c r="E344" s="6">
        <v>45747</v>
      </c>
      <c r="F344" s="7">
        <v>0.61</v>
      </c>
      <c r="G344" s="7">
        <f t="shared" si="10"/>
        <v>0.61</v>
      </c>
      <c r="H344" s="7">
        <f t="shared" si="11"/>
        <v>9.1500000000000001E-3</v>
      </c>
    </row>
    <row r="345" spans="1:8" ht="15" customHeight="1" x14ac:dyDescent="0.2">
      <c r="A345" s="4" t="s">
        <v>328</v>
      </c>
      <c r="B345" s="4" t="s">
        <v>7</v>
      </c>
      <c r="C345" s="4" t="s">
        <v>317</v>
      </c>
      <c r="D345" s="4">
        <v>20007</v>
      </c>
      <c r="E345" s="6">
        <v>45747</v>
      </c>
      <c r="F345" s="7">
        <v>18.961300000000001</v>
      </c>
      <c r="G345" s="7">
        <f t="shared" si="10"/>
        <v>18.961300000000001</v>
      </c>
      <c r="H345" s="7">
        <f t="shared" si="11"/>
        <v>0.28441949999999999</v>
      </c>
    </row>
    <row r="346" spans="1:8" ht="15" customHeight="1" x14ac:dyDescent="0.2">
      <c r="A346" s="4" t="s">
        <v>328</v>
      </c>
      <c r="B346" s="4" t="s">
        <v>7</v>
      </c>
      <c r="C346" s="4" t="s">
        <v>263</v>
      </c>
      <c r="D346" s="4">
        <v>20007</v>
      </c>
      <c r="E346" s="6">
        <v>45747</v>
      </c>
      <c r="F346" s="7">
        <v>2.146887</v>
      </c>
      <c r="G346" s="7">
        <f t="shared" si="10"/>
        <v>2.146887</v>
      </c>
      <c r="H346" s="7">
        <f t="shared" si="11"/>
        <v>3.2203305000000002E-2</v>
      </c>
    </row>
    <row r="347" spans="1:8" ht="15" customHeight="1" x14ac:dyDescent="0.2">
      <c r="A347" s="4" t="s">
        <v>328</v>
      </c>
      <c r="B347" s="4" t="s">
        <v>7</v>
      </c>
      <c r="C347" s="4" t="s">
        <v>264</v>
      </c>
      <c r="D347" s="4">
        <v>20007</v>
      </c>
      <c r="E347" s="6">
        <v>45747</v>
      </c>
      <c r="F347" s="7">
        <v>0.67337999999999998</v>
      </c>
      <c r="G347" s="7">
        <f t="shared" si="10"/>
        <v>0.67337999999999998</v>
      </c>
      <c r="H347" s="7">
        <f t="shared" si="11"/>
        <v>1.0100699999999999E-2</v>
      </c>
    </row>
    <row r="348" spans="1:8" ht="15" customHeight="1" x14ac:dyDescent="0.2">
      <c r="A348" s="4" t="s">
        <v>328</v>
      </c>
      <c r="B348" s="4" t="s">
        <v>7</v>
      </c>
      <c r="C348" s="4" t="s">
        <v>266</v>
      </c>
      <c r="D348" s="4">
        <v>20007</v>
      </c>
      <c r="E348" s="6">
        <v>45747</v>
      </c>
      <c r="F348" s="7">
        <v>30.085999999999999</v>
      </c>
      <c r="G348" s="7">
        <f t="shared" si="10"/>
        <v>30.085999999999999</v>
      </c>
      <c r="H348" s="7">
        <f t="shared" si="11"/>
        <v>0.45128999999999997</v>
      </c>
    </row>
    <row r="349" spans="1:8" ht="15" customHeight="1" x14ac:dyDescent="0.2">
      <c r="A349" s="4" t="s">
        <v>328</v>
      </c>
      <c r="B349" s="4" t="s">
        <v>7</v>
      </c>
      <c r="C349" s="4" t="s">
        <v>267</v>
      </c>
      <c r="D349" s="4">
        <v>20007</v>
      </c>
      <c r="E349" s="6">
        <v>45747</v>
      </c>
      <c r="F349" s="7">
        <v>4.52827</v>
      </c>
      <c r="G349" s="7">
        <f t="shared" si="10"/>
        <v>4.52827</v>
      </c>
      <c r="H349" s="7">
        <f t="shared" si="11"/>
        <v>6.792405E-2</v>
      </c>
    </row>
    <row r="350" spans="1:8" ht="15" customHeight="1" x14ac:dyDescent="0.2">
      <c r="A350" s="4" t="s">
        <v>328</v>
      </c>
      <c r="B350" s="4" t="s">
        <v>7</v>
      </c>
      <c r="C350" s="4" t="s">
        <v>268</v>
      </c>
      <c r="D350" s="4">
        <v>20007</v>
      </c>
      <c r="E350" s="6">
        <v>45747</v>
      </c>
      <c r="F350" s="7">
        <v>176.46729999999999</v>
      </c>
      <c r="G350" s="7">
        <f t="shared" si="10"/>
        <v>176.46729999999999</v>
      </c>
      <c r="H350" s="7">
        <f t="shared" si="11"/>
        <v>2.6470094999999998</v>
      </c>
    </row>
    <row r="351" spans="1:8" ht="15" customHeight="1" x14ac:dyDescent="0.2">
      <c r="A351" s="4" t="s">
        <v>328</v>
      </c>
      <c r="B351" s="4" t="s">
        <v>7</v>
      </c>
      <c r="C351" s="4" t="s">
        <v>269</v>
      </c>
      <c r="D351" s="4">
        <v>20007</v>
      </c>
      <c r="E351" s="6">
        <v>45747</v>
      </c>
      <c r="F351" s="7">
        <v>208.71549999999999</v>
      </c>
      <c r="G351" s="7">
        <f t="shared" si="10"/>
        <v>208.71549999999999</v>
      </c>
      <c r="H351" s="7">
        <f t="shared" si="11"/>
        <v>3.1307324999999997</v>
      </c>
    </row>
    <row r="352" spans="1:8" ht="15" customHeight="1" x14ac:dyDescent="0.2">
      <c r="A352" s="4" t="s">
        <v>328</v>
      </c>
      <c r="B352" s="4" t="s">
        <v>7</v>
      </c>
      <c r="C352" s="4" t="s">
        <v>270</v>
      </c>
      <c r="D352" s="4">
        <v>20007</v>
      </c>
      <c r="E352" s="6">
        <v>45747</v>
      </c>
      <c r="F352" s="7">
        <v>3387.739</v>
      </c>
      <c r="G352" s="7">
        <f t="shared" si="10"/>
        <v>3387.739</v>
      </c>
      <c r="H352" s="7">
        <f t="shared" si="11"/>
        <v>50.816085000000001</v>
      </c>
    </row>
    <row r="353" spans="1:8" ht="15" customHeight="1" x14ac:dyDescent="0.2">
      <c r="A353" s="4" t="s">
        <v>328</v>
      </c>
      <c r="B353" s="4" t="s">
        <v>7</v>
      </c>
      <c r="C353" s="4" t="s">
        <v>271</v>
      </c>
      <c r="D353" s="4">
        <v>20007</v>
      </c>
      <c r="E353" s="6">
        <v>45747</v>
      </c>
      <c r="F353" s="7">
        <v>0.960534</v>
      </c>
      <c r="G353" s="7">
        <f t="shared" si="10"/>
        <v>0.960534</v>
      </c>
      <c r="H353" s="7">
        <f t="shared" si="11"/>
        <v>1.4408009999999999E-2</v>
      </c>
    </row>
    <row r="354" spans="1:8" ht="15" customHeight="1" x14ac:dyDescent="0.2">
      <c r="A354" s="4" t="s">
        <v>328</v>
      </c>
      <c r="B354" s="4" t="s">
        <v>7</v>
      </c>
      <c r="C354" s="4" t="s">
        <v>272</v>
      </c>
      <c r="D354" s="4">
        <v>20007</v>
      </c>
      <c r="E354" s="6">
        <v>45747</v>
      </c>
      <c r="F354" s="7">
        <v>2.2688130000000002</v>
      </c>
      <c r="G354" s="7">
        <f t="shared" si="10"/>
        <v>2.2688130000000002</v>
      </c>
      <c r="H354" s="7">
        <f t="shared" si="11"/>
        <v>3.4032195000000001E-2</v>
      </c>
    </row>
    <row r="355" spans="1:8" ht="15" customHeight="1" x14ac:dyDescent="0.2">
      <c r="A355" s="4" t="s">
        <v>328</v>
      </c>
      <c r="B355" s="4" t="s">
        <v>7</v>
      </c>
      <c r="C355" s="4" t="s">
        <v>273</v>
      </c>
      <c r="D355" s="4">
        <v>20007</v>
      </c>
      <c r="E355" s="6">
        <v>45747</v>
      </c>
      <c r="F355" s="7">
        <v>37.451659999999997</v>
      </c>
      <c r="G355" s="7">
        <f t="shared" si="10"/>
        <v>37.451659999999997</v>
      </c>
      <c r="H355" s="7">
        <f t="shared" si="11"/>
        <v>0.56177489999999997</v>
      </c>
    </row>
    <row r="356" spans="1:8" ht="15" customHeight="1" x14ac:dyDescent="0.2">
      <c r="A356" s="4" t="s">
        <v>328</v>
      </c>
      <c r="B356" s="4" t="s">
        <v>7</v>
      </c>
      <c r="C356" s="4" t="s">
        <v>274</v>
      </c>
      <c r="D356" s="4">
        <v>20007</v>
      </c>
      <c r="E356" s="6">
        <v>45747</v>
      </c>
      <c r="F356" s="7">
        <v>16.220700000000001</v>
      </c>
      <c r="G356" s="7">
        <f t="shared" si="10"/>
        <v>16.220700000000001</v>
      </c>
      <c r="H356" s="7">
        <f t="shared" si="11"/>
        <v>0.24331050000000001</v>
      </c>
    </row>
    <row r="357" spans="1:8" ht="15" customHeight="1" x14ac:dyDescent="0.2">
      <c r="A357" s="4" t="s">
        <v>328</v>
      </c>
      <c r="B357" s="4" t="s">
        <v>7</v>
      </c>
      <c r="C357" s="4" t="s">
        <v>275</v>
      </c>
      <c r="D357" s="4">
        <v>20007</v>
      </c>
      <c r="E357" s="6">
        <v>45747</v>
      </c>
      <c r="F357" s="7">
        <v>151.99469999999999</v>
      </c>
      <c r="G357" s="7">
        <f t="shared" si="10"/>
        <v>151.99469999999999</v>
      </c>
      <c r="H357" s="7">
        <f t="shared" si="11"/>
        <v>2.2799204999999998</v>
      </c>
    </row>
    <row r="358" spans="1:8" ht="15" customHeight="1" x14ac:dyDescent="0.2">
      <c r="A358" s="4" t="s">
        <v>328</v>
      </c>
      <c r="B358" s="4" t="s">
        <v>7</v>
      </c>
      <c r="C358" s="4" t="s">
        <v>276</v>
      </c>
      <c r="D358" s="4">
        <v>20007</v>
      </c>
      <c r="E358" s="6">
        <v>45747</v>
      </c>
      <c r="F358" s="7">
        <v>4.5942999999999996</v>
      </c>
      <c r="G358" s="7">
        <f t="shared" si="10"/>
        <v>4.5942999999999996</v>
      </c>
      <c r="H358" s="7">
        <f t="shared" si="11"/>
        <v>6.891449999999999E-2</v>
      </c>
    </row>
    <row r="359" spans="1:8" ht="15" customHeight="1" x14ac:dyDescent="0.2">
      <c r="A359" s="4" t="s">
        <v>328</v>
      </c>
      <c r="B359" s="4" t="s">
        <v>7</v>
      </c>
      <c r="C359" s="4" t="s">
        <v>277</v>
      </c>
      <c r="D359" s="4">
        <v>20007</v>
      </c>
      <c r="E359" s="6">
        <v>45747</v>
      </c>
      <c r="F359" s="7">
        <v>24.95532</v>
      </c>
      <c r="G359" s="7">
        <f t="shared" si="10"/>
        <v>24.95532</v>
      </c>
      <c r="H359" s="7">
        <f t="shared" si="11"/>
        <v>0.37432979999999999</v>
      </c>
    </row>
    <row r="360" spans="1:8" ht="15" customHeight="1" x14ac:dyDescent="0.2">
      <c r="A360" s="4" t="s">
        <v>328</v>
      </c>
      <c r="B360" s="4" t="s">
        <v>7</v>
      </c>
      <c r="C360" s="4" t="s">
        <v>278</v>
      </c>
      <c r="D360" s="4">
        <v>20007</v>
      </c>
      <c r="E360" s="6">
        <v>45747</v>
      </c>
      <c r="F360" s="7">
        <v>13.47115</v>
      </c>
      <c r="G360" s="7">
        <f t="shared" si="10"/>
        <v>13.47115</v>
      </c>
      <c r="H360" s="7">
        <f t="shared" si="11"/>
        <v>0.20206724999999998</v>
      </c>
    </row>
    <row r="361" spans="1:8" ht="15" customHeight="1" x14ac:dyDescent="0.2">
      <c r="A361" s="4" t="s">
        <v>328</v>
      </c>
      <c r="B361" s="4" t="s">
        <v>7</v>
      </c>
      <c r="C361" s="4" t="s">
        <v>279</v>
      </c>
      <c r="D361" s="4">
        <v>20007</v>
      </c>
      <c r="E361" s="6">
        <v>45747</v>
      </c>
      <c r="F361" s="7">
        <v>1.0579000000000001</v>
      </c>
      <c r="G361" s="7">
        <f t="shared" si="10"/>
        <v>1.0579000000000001</v>
      </c>
      <c r="H361" s="7">
        <f t="shared" si="11"/>
        <v>1.5868500000000001E-2</v>
      </c>
    </row>
    <row r="362" spans="1:8" ht="15" customHeight="1" x14ac:dyDescent="0.2">
      <c r="A362" s="4" t="s">
        <v>328</v>
      </c>
      <c r="B362" s="4" t="s">
        <v>7</v>
      </c>
      <c r="C362" s="4" t="s">
        <v>280</v>
      </c>
      <c r="D362" s="4">
        <v>20007</v>
      </c>
      <c r="E362" s="6">
        <v>45747</v>
      </c>
      <c r="F362" s="7">
        <v>51.206000000000003</v>
      </c>
      <c r="G362" s="7">
        <f t="shared" si="10"/>
        <v>51.206000000000003</v>
      </c>
      <c r="H362" s="7">
        <f t="shared" si="11"/>
        <v>0.76809000000000005</v>
      </c>
    </row>
    <row r="363" spans="1:8" ht="15" customHeight="1" x14ac:dyDescent="0.2">
      <c r="A363" s="4" t="s">
        <v>328</v>
      </c>
      <c r="B363" s="4" t="s">
        <v>7</v>
      </c>
      <c r="C363" s="4" t="s">
        <v>329</v>
      </c>
      <c r="D363" s="4">
        <v>20007</v>
      </c>
      <c r="E363" s="6">
        <v>45747</v>
      </c>
      <c r="F363" s="7">
        <v>5.4107659999999997</v>
      </c>
      <c r="G363" s="7">
        <f t="shared" si="10"/>
        <v>5.4107659999999997</v>
      </c>
      <c r="H363" s="7">
        <f t="shared" si="11"/>
        <v>8.1161489999999989E-2</v>
      </c>
    </row>
    <row r="364" spans="1:8" ht="15" customHeight="1" x14ac:dyDescent="0.2">
      <c r="A364" s="4" t="s">
        <v>328</v>
      </c>
      <c r="B364" s="4" t="s">
        <v>7</v>
      </c>
      <c r="C364" s="4" t="s">
        <v>281</v>
      </c>
      <c r="D364" s="4">
        <v>20007</v>
      </c>
      <c r="E364" s="6">
        <v>45747</v>
      </c>
      <c r="F364" s="7">
        <v>26.1645</v>
      </c>
      <c r="G364" s="7">
        <f t="shared" si="10"/>
        <v>26.1645</v>
      </c>
      <c r="H364" s="7">
        <f t="shared" si="11"/>
        <v>0.39246749999999997</v>
      </c>
    </row>
    <row r="365" spans="1:8" ht="15" customHeight="1" x14ac:dyDescent="0.2">
      <c r="A365" s="4" t="s">
        <v>328</v>
      </c>
      <c r="B365" s="4" t="s">
        <v>7</v>
      </c>
      <c r="C365" s="4" t="s">
        <v>282</v>
      </c>
      <c r="D365" s="4">
        <v>20007</v>
      </c>
      <c r="E365" s="6">
        <v>45747</v>
      </c>
      <c r="F365" s="7">
        <v>33.733730000000001</v>
      </c>
      <c r="G365" s="7">
        <f t="shared" si="10"/>
        <v>33.733730000000001</v>
      </c>
      <c r="H365" s="7">
        <f t="shared" si="11"/>
        <v>0.50600595000000004</v>
      </c>
    </row>
    <row r="366" spans="1:8" ht="15" customHeight="1" x14ac:dyDescent="0.2">
      <c r="A366" s="4" t="s">
        <v>328</v>
      </c>
      <c r="B366" s="4" t="s">
        <v>7</v>
      </c>
      <c r="C366" s="4" t="s">
        <v>283</v>
      </c>
      <c r="D366" s="4">
        <v>20007</v>
      </c>
      <c r="E366" s="6">
        <v>45747</v>
      </c>
      <c r="F366" s="7">
        <v>166.53890000000001</v>
      </c>
      <c r="G366" s="7">
        <f t="shared" si="10"/>
        <v>166.53890000000001</v>
      </c>
      <c r="H366" s="7">
        <f t="shared" si="11"/>
        <v>2.4980834999999999</v>
      </c>
    </row>
    <row r="367" spans="1:8" ht="15" customHeight="1" x14ac:dyDescent="0.2">
      <c r="A367" s="4" t="s">
        <v>328</v>
      </c>
      <c r="B367" s="4" t="s">
        <v>7</v>
      </c>
      <c r="C367" s="4" t="s">
        <v>285</v>
      </c>
      <c r="D367" s="4">
        <v>20007</v>
      </c>
      <c r="E367" s="6">
        <v>45747</v>
      </c>
      <c r="F367" s="7">
        <v>58.006680000000003</v>
      </c>
      <c r="G367" s="7">
        <f t="shared" si="10"/>
        <v>58.006680000000003</v>
      </c>
      <c r="H367" s="7">
        <f t="shared" si="11"/>
        <v>0.87010019999999999</v>
      </c>
    </row>
    <row r="368" spans="1:8" ht="15" customHeight="1" x14ac:dyDescent="0.2">
      <c r="A368" s="4" t="s">
        <v>328</v>
      </c>
      <c r="B368" s="4" t="s">
        <v>7</v>
      </c>
      <c r="C368" s="4" t="s">
        <v>330</v>
      </c>
      <c r="D368" s="4">
        <v>20007</v>
      </c>
      <c r="E368" s="6">
        <v>45747</v>
      </c>
      <c r="F368" s="7">
        <v>10.411</v>
      </c>
      <c r="G368" s="7">
        <f t="shared" si="10"/>
        <v>10.411</v>
      </c>
      <c r="H368" s="7">
        <f t="shared" si="11"/>
        <v>0.156165</v>
      </c>
    </row>
    <row r="369" spans="1:8" ht="15" customHeight="1" x14ac:dyDescent="0.2">
      <c r="A369" s="4" t="s">
        <v>328</v>
      </c>
      <c r="B369" s="4" t="s">
        <v>7</v>
      </c>
      <c r="C369" s="4" t="s">
        <v>286</v>
      </c>
      <c r="D369" s="4">
        <v>20007</v>
      </c>
      <c r="E369" s="6">
        <v>45747</v>
      </c>
      <c r="F369" s="7">
        <v>361.31950000000001</v>
      </c>
      <c r="G369" s="7">
        <f t="shared" si="10"/>
        <v>361.31950000000001</v>
      </c>
      <c r="H369" s="7">
        <f t="shared" si="11"/>
        <v>5.4197924999999998</v>
      </c>
    </row>
    <row r="370" spans="1:8" ht="15" customHeight="1" x14ac:dyDescent="0.2">
      <c r="A370" s="4" t="s">
        <v>328</v>
      </c>
      <c r="B370" s="4" t="s">
        <v>7</v>
      </c>
      <c r="C370" s="4" t="s">
        <v>287</v>
      </c>
      <c r="D370" s="4">
        <v>20007</v>
      </c>
      <c r="E370" s="6">
        <v>45747</v>
      </c>
      <c r="F370" s="7">
        <v>86.349599999999995</v>
      </c>
      <c r="G370" s="7">
        <f t="shared" si="10"/>
        <v>86.349599999999995</v>
      </c>
      <c r="H370" s="7">
        <f t="shared" si="11"/>
        <v>1.2952439999999998</v>
      </c>
    </row>
    <row r="371" spans="1:8" ht="15" customHeight="1" x14ac:dyDescent="0.2">
      <c r="A371" s="4" t="s">
        <v>328</v>
      </c>
      <c r="B371" s="4" t="s">
        <v>7</v>
      </c>
      <c r="C371" s="4" t="s">
        <v>288</v>
      </c>
      <c r="D371" s="4">
        <v>20007</v>
      </c>
      <c r="E371" s="6">
        <v>45747</v>
      </c>
      <c r="F371" s="7">
        <v>38.787880000000001</v>
      </c>
      <c r="G371" s="7">
        <f t="shared" si="10"/>
        <v>38.787880000000001</v>
      </c>
      <c r="H371" s="7">
        <f t="shared" si="11"/>
        <v>0.58181819999999995</v>
      </c>
    </row>
    <row r="372" spans="1:8" ht="15" customHeight="1" x14ac:dyDescent="0.2">
      <c r="A372" s="4" t="s">
        <v>328</v>
      </c>
      <c r="B372" s="4" t="s">
        <v>7</v>
      </c>
      <c r="C372" s="4" t="s">
        <v>289</v>
      </c>
      <c r="D372" s="4">
        <v>20007</v>
      </c>
      <c r="E372" s="6">
        <v>45747</v>
      </c>
      <c r="F372" s="7">
        <v>23.351489999999998</v>
      </c>
      <c r="G372" s="7">
        <f t="shared" si="10"/>
        <v>23.351489999999998</v>
      </c>
      <c r="H372" s="7">
        <f t="shared" si="11"/>
        <v>0.35027234999999995</v>
      </c>
    </row>
    <row r="373" spans="1:8" ht="15" customHeight="1" x14ac:dyDescent="0.2">
      <c r="A373" s="4" t="s">
        <v>328</v>
      </c>
      <c r="B373" s="4" t="s">
        <v>7</v>
      </c>
      <c r="C373" s="4" t="s">
        <v>290</v>
      </c>
      <c r="D373" s="4">
        <v>20007</v>
      </c>
      <c r="E373" s="6">
        <v>45747</v>
      </c>
      <c r="F373" s="7">
        <v>35.120370000000001</v>
      </c>
      <c r="G373" s="7">
        <f t="shared" si="10"/>
        <v>35.120370000000001</v>
      </c>
      <c r="H373" s="7">
        <f t="shared" si="11"/>
        <v>0.52680554999999996</v>
      </c>
    </row>
    <row r="374" spans="1:8" ht="15" customHeight="1" x14ac:dyDescent="0.2">
      <c r="A374" s="4" t="s">
        <v>328</v>
      </c>
      <c r="B374" s="4" t="s">
        <v>7</v>
      </c>
      <c r="C374" s="4" t="s">
        <v>291</v>
      </c>
      <c r="D374" s="4">
        <v>20007</v>
      </c>
      <c r="E374" s="6">
        <v>45747</v>
      </c>
      <c r="F374" s="7">
        <v>980.01430000000005</v>
      </c>
      <c r="G374" s="7">
        <f t="shared" ref="G374:G399" si="12">F374</f>
        <v>980.01430000000005</v>
      </c>
      <c r="H374" s="7">
        <f t="shared" ref="H374:H399" si="13">G374*0.015</f>
        <v>14.7002145</v>
      </c>
    </row>
    <row r="375" spans="1:8" ht="15" customHeight="1" x14ac:dyDescent="0.2">
      <c r="A375" s="4" t="s">
        <v>328</v>
      </c>
      <c r="B375" s="4" t="s">
        <v>7</v>
      </c>
      <c r="C375" s="4" t="s">
        <v>292</v>
      </c>
      <c r="D375" s="4">
        <v>20007</v>
      </c>
      <c r="E375" s="6">
        <v>45747</v>
      </c>
      <c r="F375" s="7">
        <v>78.989400000000003</v>
      </c>
      <c r="G375" s="7">
        <f t="shared" si="12"/>
        <v>78.989400000000003</v>
      </c>
      <c r="H375" s="7">
        <f t="shared" si="13"/>
        <v>1.184841</v>
      </c>
    </row>
    <row r="376" spans="1:8" ht="15" customHeight="1" x14ac:dyDescent="0.2">
      <c r="A376" s="4" t="s">
        <v>328</v>
      </c>
      <c r="B376" s="4" t="s">
        <v>7</v>
      </c>
      <c r="C376" s="4" t="s">
        <v>293</v>
      </c>
      <c r="D376" s="4">
        <v>20007</v>
      </c>
      <c r="E376" s="6">
        <v>45747</v>
      </c>
      <c r="F376" s="7">
        <v>34.695059999999998</v>
      </c>
      <c r="G376" s="7">
        <f t="shared" si="12"/>
        <v>34.695059999999998</v>
      </c>
      <c r="H376" s="7">
        <f t="shared" si="13"/>
        <v>0.5204259</v>
      </c>
    </row>
    <row r="377" spans="1:8" ht="15" customHeight="1" x14ac:dyDescent="0.2">
      <c r="A377" s="4" t="s">
        <v>328</v>
      </c>
      <c r="B377" s="4" t="s">
        <v>7</v>
      </c>
      <c r="C377" s="4" t="s">
        <v>295</v>
      </c>
      <c r="D377" s="4">
        <v>20007</v>
      </c>
      <c r="E377" s="6">
        <v>45747</v>
      </c>
      <c r="F377" s="7">
        <v>274.03320000000002</v>
      </c>
      <c r="G377" s="7">
        <f t="shared" si="12"/>
        <v>274.03320000000002</v>
      </c>
      <c r="H377" s="7">
        <f t="shared" si="13"/>
        <v>4.1104979999999998</v>
      </c>
    </row>
    <row r="378" spans="1:8" ht="15" customHeight="1" x14ac:dyDescent="0.2">
      <c r="A378" s="4" t="s">
        <v>328</v>
      </c>
      <c r="B378" s="4" t="s">
        <v>7</v>
      </c>
      <c r="C378" s="4" t="s">
        <v>296</v>
      </c>
      <c r="D378" s="4">
        <v>20007</v>
      </c>
      <c r="E378" s="6">
        <v>45747</v>
      </c>
      <c r="F378" s="7">
        <v>10.14485</v>
      </c>
      <c r="G378" s="7">
        <f t="shared" si="12"/>
        <v>10.14485</v>
      </c>
      <c r="H378" s="7">
        <f t="shared" si="13"/>
        <v>0.15217275</v>
      </c>
    </row>
    <row r="379" spans="1:8" ht="15" customHeight="1" x14ac:dyDescent="0.2">
      <c r="A379" s="4" t="s">
        <v>328</v>
      </c>
      <c r="B379" s="4" t="s">
        <v>7</v>
      </c>
      <c r="C379" s="4" t="s">
        <v>297</v>
      </c>
      <c r="D379" s="4">
        <v>20007</v>
      </c>
      <c r="E379" s="6">
        <v>45747</v>
      </c>
      <c r="F379" s="7">
        <v>19.505310000000001</v>
      </c>
      <c r="G379" s="7">
        <f t="shared" si="12"/>
        <v>19.505310000000001</v>
      </c>
      <c r="H379" s="7">
        <f t="shared" si="13"/>
        <v>0.29257965000000002</v>
      </c>
    </row>
    <row r="380" spans="1:8" ht="15" customHeight="1" x14ac:dyDescent="0.2">
      <c r="A380" s="4" t="s">
        <v>328</v>
      </c>
      <c r="B380" s="4" t="s">
        <v>7</v>
      </c>
      <c r="C380" s="4" t="s">
        <v>331</v>
      </c>
      <c r="D380" s="4">
        <v>20007</v>
      </c>
      <c r="E380" s="6">
        <v>45747</v>
      </c>
      <c r="F380" s="7">
        <v>8.0903899999999993</v>
      </c>
      <c r="G380" s="7">
        <f t="shared" si="12"/>
        <v>8.0903899999999993</v>
      </c>
      <c r="H380" s="7">
        <f t="shared" si="13"/>
        <v>0.12135584999999999</v>
      </c>
    </row>
    <row r="381" spans="1:8" ht="15" customHeight="1" x14ac:dyDescent="0.2">
      <c r="A381" s="4" t="s">
        <v>328</v>
      </c>
      <c r="B381" s="4" t="s">
        <v>7</v>
      </c>
      <c r="C381" s="4" t="s">
        <v>298</v>
      </c>
      <c r="D381" s="4">
        <v>20007</v>
      </c>
      <c r="E381" s="6">
        <v>45747</v>
      </c>
      <c r="F381" s="7">
        <v>17.634810000000002</v>
      </c>
      <c r="G381" s="7">
        <f t="shared" si="12"/>
        <v>17.634810000000002</v>
      </c>
      <c r="H381" s="7">
        <f t="shared" si="13"/>
        <v>0.26452215000000001</v>
      </c>
    </row>
    <row r="382" spans="1:8" ht="15" customHeight="1" x14ac:dyDescent="0.2">
      <c r="A382" s="4" t="s">
        <v>328</v>
      </c>
      <c r="B382" s="4" t="s">
        <v>7</v>
      </c>
      <c r="C382" s="4" t="s">
        <v>299</v>
      </c>
      <c r="D382" s="4">
        <v>20007</v>
      </c>
      <c r="E382" s="6">
        <v>45747</v>
      </c>
      <c r="F382" s="7">
        <v>68.004180000000005</v>
      </c>
      <c r="G382" s="7">
        <f t="shared" si="12"/>
        <v>68.004180000000005</v>
      </c>
      <c r="H382" s="7">
        <f t="shared" si="13"/>
        <v>1.0200627</v>
      </c>
    </row>
    <row r="383" spans="1:8" ht="15" customHeight="1" x14ac:dyDescent="0.2">
      <c r="A383" s="4" t="s">
        <v>328</v>
      </c>
      <c r="B383" s="4" t="s">
        <v>7</v>
      </c>
      <c r="C383" s="4" t="s">
        <v>300</v>
      </c>
      <c r="D383" s="4">
        <v>20007</v>
      </c>
      <c r="E383" s="6">
        <v>45747</v>
      </c>
      <c r="F383" s="7">
        <v>5.7770409999999996</v>
      </c>
      <c r="G383" s="7">
        <f t="shared" si="12"/>
        <v>5.7770409999999996</v>
      </c>
      <c r="H383" s="7">
        <f t="shared" si="13"/>
        <v>8.6655614999999991E-2</v>
      </c>
    </row>
    <row r="384" spans="1:8" ht="15" customHeight="1" x14ac:dyDescent="0.2">
      <c r="A384" s="4" t="s">
        <v>328</v>
      </c>
      <c r="B384" s="4" t="s">
        <v>7</v>
      </c>
      <c r="C384" s="4" t="s">
        <v>301</v>
      </c>
      <c r="D384" s="4">
        <v>20007</v>
      </c>
      <c r="E384" s="6">
        <v>45747</v>
      </c>
      <c r="F384" s="7">
        <v>18.784939999999999</v>
      </c>
      <c r="G384" s="7">
        <f t="shared" si="12"/>
        <v>18.784939999999999</v>
      </c>
      <c r="H384" s="7">
        <f t="shared" si="13"/>
        <v>0.28177409999999997</v>
      </c>
    </row>
    <row r="385" spans="1:8" ht="15" customHeight="1" x14ac:dyDescent="0.2">
      <c r="A385" s="4" t="s">
        <v>328</v>
      </c>
      <c r="B385" s="4" t="s">
        <v>7</v>
      </c>
      <c r="C385" s="4" t="s">
        <v>302</v>
      </c>
      <c r="D385" s="4">
        <v>20007</v>
      </c>
      <c r="E385" s="6">
        <v>45747</v>
      </c>
      <c r="F385" s="7">
        <v>16.829999999999998</v>
      </c>
      <c r="G385" s="7">
        <f t="shared" si="12"/>
        <v>16.829999999999998</v>
      </c>
      <c r="H385" s="7">
        <f t="shared" si="13"/>
        <v>0.25244999999999995</v>
      </c>
    </row>
    <row r="386" spans="1:8" ht="15" customHeight="1" x14ac:dyDescent="0.2">
      <c r="A386" s="4" t="s">
        <v>328</v>
      </c>
      <c r="B386" s="4" t="s">
        <v>7</v>
      </c>
      <c r="C386" s="4" t="s">
        <v>303</v>
      </c>
      <c r="D386" s="4">
        <v>20007</v>
      </c>
      <c r="E386" s="6">
        <v>45747</v>
      </c>
      <c r="F386" s="7">
        <v>66.333179999999999</v>
      </c>
      <c r="G386" s="7">
        <f t="shared" si="12"/>
        <v>66.333179999999999</v>
      </c>
      <c r="H386" s="7">
        <f t="shared" si="13"/>
        <v>0.99499769999999998</v>
      </c>
    </row>
    <row r="387" spans="1:8" ht="15" customHeight="1" x14ac:dyDescent="0.2">
      <c r="A387" s="4" t="s">
        <v>328</v>
      </c>
      <c r="B387" s="4" t="s">
        <v>7</v>
      </c>
      <c r="C387" s="4" t="s">
        <v>332</v>
      </c>
      <c r="D387" s="4">
        <v>20007</v>
      </c>
      <c r="E387" s="6">
        <v>45747</v>
      </c>
      <c r="F387" s="7">
        <v>1725.027</v>
      </c>
      <c r="G387" s="7">
        <f t="shared" si="12"/>
        <v>1725.027</v>
      </c>
      <c r="H387" s="7">
        <f t="shared" si="13"/>
        <v>25.875405000000001</v>
      </c>
    </row>
    <row r="388" spans="1:8" ht="15" customHeight="1" x14ac:dyDescent="0.2">
      <c r="A388" s="4" t="s">
        <v>328</v>
      </c>
      <c r="B388" s="4" t="s">
        <v>7</v>
      </c>
      <c r="C388" s="4" t="s">
        <v>304</v>
      </c>
      <c r="D388" s="4">
        <v>20007</v>
      </c>
      <c r="E388" s="6">
        <v>45747</v>
      </c>
      <c r="F388" s="7">
        <v>17.428709999999999</v>
      </c>
      <c r="G388" s="7">
        <f t="shared" si="12"/>
        <v>17.428709999999999</v>
      </c>
      <c r="H388" s="7">
        <f t="shared" si="13"/>
        <v>0.26143064999999999</v>
      </c>
    </row>
    <row r="389" spans="1:8" ht="15" customHeight="1" x14ac:dyDescent="0.2">
      <c r="A389" s="4" t="s">
        <v>328</v>
      </c>
      <c r="B389" s="4" t="s">
        <v>7</v>
      </c>
      <c r="C389" s="4" t="s">
        <v>305</v>
      </c>
      <c r="D389" s="4">
        <v>20007</v>
      </c>
      <c r="E389" s="6">
        <v>45747</v>
      </c>
      <c r="F389" s="7">
        <v>55.1995</v>
      </c>
      <c r="G389" s="7">
        <f t="shared" si="12"/>
        <v>55.1995</v>
      </c>
      <c r="H389" s="7">
        <f t="shared" si="13"/>
        <v>0.82799250000000002</v>
      </c>
    </row>
    <row r="390" spans="1:8" ht="15" customHeight="1" x14ac:dyDescent="0.2">
      <c r="A390" s="4" t="s">
        <v>328</v>
      </c>
      <c r="B390" s="4" t="s">
        <v>7</v>
      </c>
      <c r="C390" s="4" t="s">
        <v>306</v>
      </c>
      <c r="D390" s="4">
        <v>20007</v>
      </c>
      <c r="E390" s="6">
        <v>45747</v>
      </c>
      <c r="F390" s="7">
        <v>0.74370000000000003</v>
      </c>
      <c r="G390" s="7">
        <f t="shared" si="12"/>
        <v>0.74370000000000003</v>
      </c>
      <c r="H390" s="7">
        <f t="shared" si="13"/>
        <v>1.11555E-2</v>
      </c>
    </row>
    <row r="391" spans="1:8" ht="15" customHeight="1" x14ac:dyDescent="0.2">
      <c r="A391" s="4" t="s">
        <v>328</v>
      </c>
      <c r="B391" s="4" t="s">
        <v>7</v>
      </c>
      <c r="C391" s="4" t="s">
        <v>307</v>
      </c>
      <c r="D391" s="4">
        <v>20007</v>
      </c>
      <c r="E391" s="6">
        <v>45747</v>
      </c>
      <c r="F391" s="7">
        <v>23.367789999999999</v>
      </c>
      <c r="G391" s="7">
        <f t="shared" si="12"/>
        <v>23.367789999999999</v>
      </c>
      <c r="H391" s="7">
        <f t="shared" si="13"/>
        <v>0.35051684999999999</v>
      </c>
    </row>
    <row r="392" spans="1:8" ht="15" customHeight="1" x14ac:dyDescent="0.2">
      <c r="A392" s="4" t="s">
        <v>328</v>
      </c>
      <c r="B392" s="4" t="s">
        <v>7</v>
      </c>
      <c r="C392" s="4" t="s">
        <v>309</v>
      </c>
      <c r="D392" s="4">
        <v>20007</v>
      </c>
      <c r="E392" s="6">
        <v>45747</v>
      </c>
      <c r="F392" s="7">
        <v>0.59</v>
      </c>
      <c r="G392" s="7">
        <f t="shared" si="12"/>
        <v>0.59</v>
      </c>
      <c r="H392" s="7">
        <f t="shared" si="13"/>
        <v>8.8499999999999985E-3</v>
      </c>
    </row>
    <row r="393" spans="1:8" ht="15" customHeight="1" x14ac:dyDescent="0.2">
      <c r="A393" s="4" t="s">
        <v>328</v>
      </c>
      <c r="B393" s="4" t="s">
        <v>7</v>
      </c>
      <c r="C393" s="4" t="s">
        <v>310</v>
      </c>
      <c r="D393" s="4">
        <v>20007</v>
      </c>
      <c r="E393" s="6">
        <v>45747</v>
      </c>
      <c r="F393" s="7">
        <v>97.102940000000004</v>
      </c>
      <c r="G393" s="7">
        <f t="shared" si="12"/>
        <v>97.102940000000004</v>
      </c>
      <c r="H393" s="7">
        <f t="shared" si="13"/>
        <v>1.4565440999999999</v>
      </c>
    </row>
    <row r="394" spans="1:8" ht="15" customHeight="1" x14ac:dyDescent="0.2">
      <c r="A394" s="4" t="s">
        <v>328</v>
      </c>
      <c r="B394" s="4" t="s">
        <v>7</v>
      </c>
      <c r="C394" s="4" t="s">
        <v>311</v>
      </c>
      <c r="D394" s="4">
        <v>20007</v>
      </c>
      <c r="E394" s="6">
        <v>45747</v>
      </c>
      <c r="F394" s="7">
        <v>1499.85</v>
      </c>
      <c r="G394" s="7">
        <f t="shared" si="12"/>
        <v>1499.85</v>
      </c>
      <c r="H394" s="7">
        <f t="shared" si="13"/>
        <v>22.497749999999996</v>
      </c>
    </row>
    <row r="395" spans="1:8" ht="15" customHeight="1" x14ac:dyDescent="0.2">
      <c r="A395" s="4" t="s">
        <v>328</v>
      </c>
      <c r="B395" s="4" t="s">
        <v>7</v>
      </c>
      <c r="C395" s="4" t="s">
        <v>312</v>
      </c>
      <c r="D395" s="4">
        <v>20007</v>
      </c>
      <c r="E395" s="6">
        <v>45747</v>
      </c>
      <c r="F395" s="7">
        <v>17.394290000000002</v>
      </c>
      <c r="G395" s="7">
        <f t="shared" si="12"/>
        <v>17.394290000000002</v>
      </c>
      <c r="H395" s="7">
        <f t="shared" si="13"/>
        <v>0.26091435000000002</v>
      </c>
    </row>
    <row r="396" spans="1:8" ht="15" customHeight="1" x14ac:dyDescent="0.2">
      <c r="A396" s="4" t="s">
        <v>328</v>
      </c>
      <c r="B396" s="4" t="s">
        <v>7</v>
      </c>
      <c r="C396" s="4" t="s">
        <v>313</v>
      </c>
      <c r="D396" s="4">
        <v>20007</v>
      </c>
      <c r="E396" s="6">
        <v>45747</v>
      </c>
      <c r="F396" s="7">
        <v>34.809339999999999</v>
      </c>
      <c r="G396" s="7">
        <f t="shared" si="12"/>
        <v>34.809339999999999</v>
      </c>
      <c r="H396" s="7">
        <f t="shared" si="13"/>
        <v>0.5221401</v>
      </c>
    </row>
    <row r="397" spans="1:8" ht="15" customHeight="1" x14ac:dyDescent="0.2">
      <c r="A397" s="4" t="s">
        <v>328</v>
      </c>
      <c r="B397" s="4" t="s">
        <v>7</v>
      </c>
      <c r="C397" s="4" t="s">
        <v>333</v>
      </c>
      <c r="D397" s="4">
        <v>20007</v>
      </c>
      <c r="E397" s="6">
        <v>45747</v>
      </c>
      <c r="F397" s="7">
        <v>50.36</v>
      </c>
      <c r="G397" s="7">
        <f t="shared" si="12"/>
        <v>50.36</v>
      </c>
      <c r="H397" s="7">
        <f t="shared" si="13"/>
        <v>0.75539999999999996</v>
      </c>
    </row>
    <row r="398" spans="1:8" ht="15" customHeight="1" x14ac:dyDescent="0.2">
      <c r="A398" s="4" t="s">
        <v>328</v>
      </c>
      <c r="B398" s="4" t="s">
        <v>7</v>
      </c>
      <c r="C398" s="4" t="s">
        <v>334</v>
      </c>
      <c r="D398" s="4">
        <v>20007</v>
      </c>
      <c r="E398" s="6">
        <v>45747</v>
      </c>
      <c r="F398" s="7">
        <v>163.62</v>
      </c>
      <c r="G398" s="7">
        <f t="shared" si="12"/>
        <v>163.62</v>
      </c>
      <c r="H398" s="7">
        <f t="shared" si="13"/>
        <v>2.4542999999999999</v>
      </c>
    </row>
    <row r="399" spans="1:8" ht="15" customHeight="1" x14ac:dyDescent="0.2">
      <c r="A399" s="4" t="s">
        <v>328</v>
      </c>
      <c r="B399" s="4" t="s">
        <v>7</v>
      </c>
      <c r="C399" s="4" t="s">
        <v>314</v>
      </c>
      <c r="D399" s="4">
        <v>20007</v>
      </c>
      <c r="E399" s="6">
        <v>45747</v>
      </c>
      <c r="F399" s="7">
        <v>12.74376</v>
      </c>
      <c r="G399" s="7">
        <f t="shared" si="12"/>
        <v>12.74376</v>
      </c>
      <c r="H399" s="7">
        <f t="shared" si="13"/>
        <v>0.1911564</v>
      </c>
    </row>
  </sheetData>
  <phoneticPr fontId="5" type="noConversion"/>
  <printOptions horizontalCentered="1"/>
  <pageMargins left="0.27559055118110237" right="0.27559055118110237" top="0.27559055118110237" bottom="0.39370078740157483" header="0" footer="0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Fonseca</dc:creator>
  <cp:lastModifiedBy>Roberto Fonseca</cp:lastModifiedBy>
  <cp:lastPrinted>2025-11-11T12:55:08Z</cp:lastPrinted>
  <dcterms:created xsi:type="dcterms:W3CDTF">2025-11-05T12:00:23Z</dcterms:created>
  <dcterms:modified xsi:type="dcterms:W3CDTF">2025-11-11T12:57:19Z</dcterms:modified>
</cp:coreProperties>
</file>